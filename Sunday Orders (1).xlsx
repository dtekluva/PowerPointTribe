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nager/Documents/PowerPoint Tribe/"/>
    </mc:Choice>
  </mc:AlternateContent>
  <xr:revisionPtr revIDLastSave="0" documentId="13_ncr:1_{998BADE1-5D14-A941-9FF7-9E40A95A9C40}" xr6:coauthVersionLast="47" xr6:coauthVersionMax="47" xr10:uidLastSave="{00000000-0000-0000-0000-000000000000}"/>
  <bookViews>
    <workbookView xWindow="30240" yWindow="500" windowWidth="60160" windowHeight="33340" activeTab="30" xr2:uid="{00000000-000D-0000-FFFF-FFFF00000000}"/>
  </bookViews>
  <sheets>
    <sheet name="Sheet1" sheetId="1" r:id="rId1"/>
    <sheet name="Retreat Orderz" sheetId="2" state="hidden" r:id="rId2"/>
    <sheet name="Sheet3" sheetId="3" state="hidden" r:id="rId3"/>
    <sheet name="Sheet4" sheetId="4" state="hidden" r:id="rId4"/>
    <sheet name="Birthdays and anniversary " sheetId="5" state="hidden" r:id="rId5"/>
    <sheet name="Sheet6" sheetId="6" state="hidden" r:id="rId6"/>
    <sheet name="3Mar25" sheetId="7" state="hidden" r:id="rId7"/>
    <sheet name="8Mar25" sheetId="8" state="hidden" r:id="rId8"/>
    <sheet name="16Mar25" sheetId="9" state="hidden" r:id="rId9"/>
    <sheet name="23Mar25" sheetId="10" state="hidden" r:id="rId10"/>
    <sheet name="30 Mar25" sheetId="11" state="hidden" r:id="rId11"/>
    <sheet name="6 Apr 2025" sheetId="12" state="hidden" r:id="rId12"/>
    <sheet name="13 Apr 2025" sheetId="13" state="hidden" r:id="rId13"/>
    <sheet name="20 Apr 2025" sheetId="14" state="hidden" r:id="rId14"/>
    <sheet name="27 Apr 2025" sheetId="15" state="hidden" r:id="rId15"/>
    <sheet name="4 May 2025" sheetId="16" state="hidden" r:id="rId16"/>
    <sheet name="11 May 2025" sheetId="17" state="hidden" r:id="rId17"/>
    <sheet name="18 May 2025" sheetId="18" state="hidden" r:id="rId18"/>
    <sheet name="25 May 2025" sheetId="19" state="hidden" r:id="rId19"/>
    <sheet name="1 June 2025" sheetId="20" state="hidden" r:id="rId20"/>
    <sheet name="8 June 2025" sheetId="21" state="hidden" r:id="rId21"/>
    <sheet name="15 June 2025" sheetId="22" state="hidden" r:id="rId22"/>
    <sheet name="22 June 2025" sheetId="23" state="hidden" r:id="rId23"/>
    <sheet name=" 29 June 2025" sheetId="24" r:id="rId24"/>
    <sheet name="6 July 2025" sheetId="25" r:id="rId25"/>
    <sheet name="13 July 2025" sheetId="26" r:id="rId26"/>
    <sheet name="20 July 2025" sheetId="27" r:id="rId27"/>
    <sheet name="29 July 2025" sheetId="28" r:id="rId28"/>
    <sheet name="03 August 2025" sheetId="31" r:id="rId29"/>
    <sheet name="10 August 2025" sheetId="34" r:id="rId30"/>
    <sheet name="17 August 2025" sheetId="32" r:id="rId31"/>
    <sheet name="Price List" sheetId="29" r:id="rId32"/>
    <sheet name="Debt list" sheetId="30" r:id="rId33"/>
    <sheet name="New Debt List" sheetId="33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2" l="1"/>
  <c r="F25" i="32"/>
  <c r="F26" i="32"/>
  <c r="E23" i="34"/>
  <c r="F12" i="34"/>
  <c r="D12" i="34"/>
  <c r="F11" i="34"/>
  <c r="D11" i="34"/>
  <c r="F10" i="34"/>
  <c r="D10" i="34"/>
  <c r="F9" i="34"/>
  <c r="D9" i="34"/>
  <c r="F8" i="34"/>
  <c r="D8" i="34"/>
  <c r="F7" i="34"/>
  <c r="D7" i="34"/>
  <c r="F6" i="34"/>
  <c r="D6" i="34"/>
  <c r="F5" i="34"/>
  <c r="D5" i="34"/>
  <c r="F4" i="34"/>
  <c r="D4" i="34"/>
  <c r="F3" i="34"/>
  <c r="D3" i="34"/>
  <c r="F12" i="32"/>
  <c r="D12" i="32"/>
  <c r="F11" i="32"/>
  <c r="D11" i="32"/>
  <c r="F10" i="32"/>
  <c r="D10" i="32"/>
  <c r="F9" i="32"/>
  <c r="D9" i="32"/>
  <c r="F8" i="32"/>
  <c r="D8" i="32"/>
  <c r="F7" i="32"/>
  <c r="D7" i="32"/>
  <c r="D13" i="32" s="1"/>
  <c r="F6" i="32"/>
  <c r="F13" i="32" s="1"/>
  <c r="D6" i="32"/>
  <c r="F5" i="32"/>
  <c r="D5" i="32"/>
  <c r="F4" i="32"/>
  <c r="D4" i="32"/>
  <c r="F3" i="32"/>
  <c r="D3" i="32"/>
  <c r="F16" i="31"/>
  <c r="D16" i="31"/>
  <c r="F15" i="31"/>
  <c r="D15" i="31"/>
  <c r="F14" i="31"/>
  <c r="F17" i="31" s="1"/>
  <c r="D14" i="31"/>
  <c r="E26" i="31"/>
  <c r="F25" i="31"/>
  <c r="F12" i="31"/>
  <c r="D12" i="31"/>
  <c r="F11" i="31"/>
  <c r="D11" i="31"/>
  <c r="F10" i="31"/>
  <c r="D10" i="31"/>
  <c r="F9" i="31"/>
  <c r="D9" i="31"/>
  <c r="F8" i="31"/>
  <c r="D8" i="31"/>
  <c r="F7" i="31"/>
  <c r="D7" i="31"/>
  <c r="F6" i="31"/>
  <c r="D6" i="31"/>
  <c r="F5" i="31"/>
  <c r="D5" i="31"/>
  <c r="F4" i="31"/>
  <c r="D4" i="31"/>
  <c r="F3" i="31"/>
  <c r="D3" i="31"/>
  <c r="B28" i="30"/>
  <c r="B22" i="30"/>
  <c r="B17" i="30"/>
  <c r="B7" i="30"/>
  <c r="C28" i="28"/>
  <c r="F22" i="28" s="1"/>
  <c r="F24" i="28" s="1"/>
  <c r="E22" i="28"/>
  <c r="F21" i="28"/>
  <c r="F20" i="28"/>
  <c r="F12" i="28"/>
  <c r="D12" i="28"/>
  <c r="F11" i="28"/>
  <c r="D11" i="28"/>
  <c r="F10" i="28"/>
  <c r="D10" i="28"/>
  <c r="F9" i="28"/>
  <c r="D9" i="28"/>
  <c r="F8" i="28"/>
  <c r="D8" i="28"/>
  <c r="F7" i="28"/>
  <c r="D7" i="28"/>
  <c r="F6" i="28"/>
  <c r="D6" i="28"/>
  <c r="F5" i="28"/>
  <c r="D5" i="28"/>
  <c r="F4" i="28"/>
  <c r="F13" i="28" s="1"/>
  <c r="D4" i="28"/>
  <c r="F3" i="28"/>
  <c r="D3" i="28"/>
  <c r="D13" i="28" s="1"/>
  <c r="C28" i="27"/>
  <c r="F22" i="27" s="1"/>
  <c r="E22" i="27"/>
  <c r="F21" i="27"/>
  <c r="F20" i="27"/>
  <c r="F12" i="27"/>
  <c r="D12" i="27"/>
  <c r="F11" i="27"/>
  <c r="D11" i="27"/>
  <c r="F10" i="27"/>
  <c r="D10" i="27"/>
  <c r="F9" i="27"/>
  <c r="D9" i="27"/>
  <c r="F8" i="27"/>
  <c r="D8" i="27"/>
  <c r="F7" i="27"/>
  <c r="D7" i="27"/>
  <c r="F6" i="27"/>
  <c r="D6" i="27"/>
  <c r="F5" i="27"/>
  <c r="D5" i="27"/>
  <c r="F4" i="27"/>
  <c r="D4" i="27"/>
  <c r="F3" i="27"/>
  <c r="F13" i="27" s="1"/>
  <c r="D3" i="27"/>
  <c r="D13" i="27" s="1"/>
  <c r="C28" i="26"/>
  <c r="F24" i="26"/>
  <c r="F22" i="26"/>
  <c r="E22" i="26"/>
  <c r="F21" i="26"/>
  <c r="F20" i="26"/>
  <c r="F12" i="26"/>
  <c r="D12" i="26"/>
  <c r="F11" i="26"/>
  <c r="D11" i="26"/>
  <c r="F10" i="26"/>
  <c r="D10" i="26"/>
  <c r="F9" i="26"/>
  <c r="D9" i="26"/>
  <c r="F8" i="26"/>
  <c r="D8" i="26"/>
  <c r="F7" i="26"/>
  <c r="D7" i="26"/>
  <c r="D13" i="26" s="1"/>
  <c r="F6" i="26"/>
  <c r="D6" i="26"/>
  <c r="F5" i="26"/>
  <c r="D5" i="26"/>
  <c r="F4" i="26"/>
  <c r="F13" i="26" s="1"/>
  <c r="D4" i="26"/>
  <c r="F3" i="26"/>
  <c r="D3" i="26"/>
  <c r="C28" i="25"/>
  <c r="F22" i="25" s="1"/>
  <c r="F23" i="25"/>
  <c r="E22" i="25"/>
  <c r="F21" i="25"/>
  <c r="F20" i="25"/>
  <c r="F24" i="25" s="1"/>
  <c r="F18" i="25"/>
  <c r="F12" i="25"/>
  <c r="D12" i="25"/>
  <c r="F11" i="25"/>
  <c r="D11" i="25"/>
  <c r="F10" i="25"/>
  <c r="D10" i="25"/>
  <c r="F9" i="25"/>
  <c r="D9" i="25"/>
  <c r="F8" i="25"/>
  <c r="D8" i="25"/>
  <c r="F7" i="25"/>
  <c r="D7" i="25"/>
  <c r="F6" i="25"/>
  <c r="F13" i="25" s="1"/>
  <c r="D6" i="25"/>
  <c r="F5" i="25"/>
  <c r="D5" i="25"/>
  <c r="D13" i="25" s="1"/>
  <c r="F4" i="25"/>
  <c r="D4" i="25"/>
  <c r="F3" i="25"/>
  <c r="D3" i="25"/>
  <c r="C28" i="24"/>
  <c r="F22" i="24" s="1"/>
  <c r="F24" i="24" s="1"/>
  <c r="E22" i="24"/>
  <c r="F13" i="24"/>
  <c r="F25" i="24" s="1"/>
  <c r="F12" i="24"/>
  <c r="D12" i="24"/>
  <c r="F11" i="24"/>
  <c r="D11" i="24"/>
  <c r="F10" i="24"/>
  <c r="D10" i="24"/>
  <c r="F9" i="24"/>
  <c r="D9" i="24"/>
  <c r="F8" i="24"/>
  <c r="D8" i="24"/>
  <c r="F7" i="24"/>
  <c r="D7" i="24"/>
  <c r="F6" i="24"/>
  <c r="D6" i="24"/>
  <c r="F5" i="24"/>
  <c r="D5" i="24"/>
  <c r="F4" i="24"/>
  <c r="D4" i="24"/>
  <c r="D13" i="24" s="1"/>
  <c r="F3" i="24"/>
  <c r="D3" i="24"/>
  <c r="C27" i="23"/>
  <c r="F22" i="23" s="1"/>
  <c r="E22" i="23"/>
  <c r="F20" i="23"/>
  <c r="F12" i="23"/>
  <c r="D12" i="23"/>
  <c r="F11" i="23"/>
  <c r="D11" i="23"/>
  <c r="F10" i="23"/>
  <c r="D10" i="23"/>
  <c r="F9" i="23"/>
  <c r="D9" i="23"/>
  <c r="F8" i="23"/>
  <c r="D8" i="23"/>
  <c r="F7" i="23"/>
  <c r="D7" i="23"/>
  <c r="F6" i="23"/>
  <c r="D6" i="23"/>
  <c r="F5" i="23"/>
  <c r="D5" i="23"/>
  <c r="F4" i="23"/>
  <c r="D4" i="23"/>
  <c r="F3" i="23"/>
  <c r="F13" i="23" s="1"/>
  <c r="D3" i="23"/>
  <c r="D13" i="23" s="1"/>
  <c r="C28" i="22"/>
  <c r="F22" i="22"/>
  <c r="E22" i="22"/>
  <c r="F20" i="22"/>
  <c r="F24" i="22" s="1"/>
  <c r="F12" i="22"/>
  <c r="D12" i="22"/>
  <c r="F11" i="22"/>
  <c r="D11" i="22"/>
  <c r="F10" i="22"/>
  <c r="D10" i="22"/>
  <c r="F9" i="22"/>
  <c r="D9" i="22"/>
  <c r="F8" i="22"/>
  <c r="D8" i="22"/>
  <c r="F7" i="22"/>
  <c r="D7" i="22"/>
  <c r="D13" i="22" s="1"/>
  <c r="F6" i="22"/>
  <c r="D6" i="22"/>
  <c r="F5" i="22"/>
  <c r="D5" i="22"/>
  <c r="F4" i="22"/>
  <c r="D4" i="22"/>
  <c r="F3" i="22"/>
  <c r="F13" i="22" s="1"/>
  <c r="D3" i="22"/>
  <c r="C27" i="21"/>
  <c r="F24" i="21"/>
  <c r="F22" i="21"/>
  <c r="E22" i="21"/>
  <c r="C22" i="21"/>
  <c r="F13" i="21"/>
  <c r="F25" i="21" s="1"/>
  <c r="F12" i="21"/>
  <c r="D12" i="21"/>
  <c r="F11" i="21"/>
  <c r="D11" i="21"/>
  <c r="F10" i="21"/>
  <c r="D10" i="21"/>
  <c r="F9" i="21"/>
  <c r="D9" i="21"/>
  <c r="F8" i="21"/>
  <c r="D8" i="21"/>
  <c r="F7" i="21"/>
  <c r="D7" i="21"/>
  <c r="F6" i="21"/>
  <c r="D6" i="21"/>
  <c r="F5" i="21"/>
  <c r="D5" i="21"/>
  <c r="F4" i="21"/>
  <c r="D4" i="21"/>
  <c r="D13" i="21" s="1"/>
  <c r="F3" i="21"/>
  <c r="D3" i="21"/>
  <c r="C26" i="20"/>
  <c r="F21" i="20" s="1"/>
  <c r="E21" i="20"/>
  <c r="F19" i="20"/>
  <c r="F23" i="20" s="1"/>
  <c r="F13" i="20"/>
  <c r="F11" i="20"/>
  <c r="D11" i="20"/>
  <c r="F10" i="20"/>
  <c r="D10" i="20"/>
  <c r="F9" i="20"/>
  <c r="D9" i="20"/>
  <c r="F8" i="20"/>
  <c r="D8" i="20"/>
  <c r="F7" i="20"/>
  <c r="D7" i="20"/>
  <c r="F6" i="20"/>
  <c r="D6" i="20"/>
  <c r="F5" i="20"/>
  <c r="D5" i="20"/>
  <c r="F4" i="20"/>
  <c r="F12" i="20" s="1"/>
  <c r="D4" i="20"/>
  <c r="F3" i="20"/>
  <c r="D3" i="20"/>
  <c r="D12" i="20" s="1"/>
  <c r="C26" i="19"/>
  <c r="F21" i="19" s="1"/>
  <c r="E21" i="19"/>
  <c r="F19" i="19"/>
  <c r="F23" i="19" s="1"/>
  <c r="F13" i="19"/>
  <c r="F11" i="19"/>
  <c r="D11" i="19"/>
  <c r="F10" i="19"/>
  <c r="D10" i="19"/>
  <c r="F9" i="19"/>
  <c r="C9" i="19"/>
  <c r="D9" i="19" s="1"/>
  <c r="F8" i="19"/>
  <c r="D8" i="19"/>
  <c r="F7" i="19"/>
  <c r="D7" i="19"/>
  <c r="F6" i="19"/>
  <c r="D6" i="19"/>
  <c r="F5" i="19"/>
  <c r="F12" i="19" s="1"/>
  <c r="D5" i="19"/>
  <c r="B5" i="19"/>
  <c r="F4" i="19"/>
  <c r="D4" i="19"/>
  <c r="F3" i="19"/>
  <c r="D3" i="19"/>
  <c r="D12" i="19" s="1"/>
  <c r="C25" i="18"/>
  <c r="F20" i="18"/>
  <c r="F22" i="18" s="1"/>
  <c r="E20" i="18"/>
  <c r="F18" i="18"/>
  <c r="F16" i="18"/>
  <c r="F12" i="18"/>
  <c r="F10" i="18"/>
  <c r="D10" i="18"/>
  <c r="F9" i="18"/>
  <c r="D9" i="18"/>
  <c r="C9" i="18"/>
  <c r="F8" i="18"/>
  <c r="D8" i="18"/>
  <c r="F7" i="18"/>
  <c r="D7" i="18"/>
  <c r="F6" i="18"/>
  <c r="D6" i="18"/>
  <c r="B5" i="18"/>
  <c r="F5" i="18" s="1"/>
  <c r="F4" i="18"/>
  <c r="D4" i="18"/>
  <c r="F3" i="18"/>
  <c r="D3" i="18"/>
  <c r="C33" i="17"/>
  <c r="F20" i="17"/>
  <c r="E20" i="17"/>
  <c r="F18" i="17"/>
  <c r="F22" i="17" s="1"/>
  <c r="F10" i="17"/>
  <c r="D10" i="17"/>
  <c r="F9" i="17"/>
  <c r="D9" i="17"/>
  <c r="C9" i="17"/>
  <c r="F8" i="17"/>
  <c r="D8" i="17"/>
  <c r="F7" i="17"/>
  <c r="D7" i="17"/>
  <c r="F6" i="17"/>
  <c r="D6" i="17"/>
  <c r="F5" i="17"/>
  <c r="B5" i="17"/>
  <c r="D5" i="17" s="1"/>
  <c r="D11" i="17" s="1"/>
  <c r="F4" i="17"/>
  <c r="F11" i="17" s="1"/>
  <c r="D4" i="17"/>
  <c r="F3" i="17"/>
  <c r="D3" i="17"/>
  <c r="C33" i="16"/>
  <c r="F22" i="16"/>
  <c r="F20" i="16"/>
  <c r="E20" i="16"/>
  <c r="F18" i="16"/>
  <c r="F16" i="16"/>
  <c r="F10" i="16"/>
  <c r="D10" i="16"/>
  <c r="F9" i="16"/>
  <c r="D9" i="16"/>
  <c r="C9" i="16"/>
  <c r="F8" i="16"/>
  <c r="D8" i="16"/>
  <c r="F7" i="16"/>
  <c r="D7" i="16"/>
  <c r="F6" i="16"/>
  <c r="D6" i="16"/>
  <c r="B5" i="16"/>
  <c r="F5" i="16" s="1"/>
  <c r="F4" i="16"/>
  <c r="D4" i="16"/>
  <c r="F3" i="16"/>
  <c r="D3" i="16"/>
  <c r="C33" i="15"/>
  <c r="F19" i="15"/>
  <c r="E19" i="15"/>
  <c r="F16" i="15"/>
  <c r="F21" i="15" s="1"/>
  <c r="F10" i="15"/>
  <c r="D10" i="15"/>
  <c r="F9" i="15"/>
  <c r="D9" i="15"/>
  <c r="C9" i="15"/>
  <c r="F8" i="15"/>
  <c r="D8" i="15"/>
  <c r="F7" i="15"/>
  <c r="D7" i="15"/>
  <c r="F6" i="15"/>
  <c r="D6" i="15"/>
  <c r="D11" i="15" s="1"/>
  <c r="F5" i="15"/>
  <c r="D5" i="15"/>
  <c r="B5" i="15"/>
  <c r="F4" i="15"/>
  <c r="F11" i="15" s="1"/>
  <c r="D4" i="15"/>
  <c r="F3" i="15"/>
  <c r="D3" i="15"/>
  <c r="C22" i="14"/>
  <c r="C33" i="14" s="1"/>
  <c r="F19" i="14" s="1"/>
  <c r="F21" i="14" s="1"/>
  <c r="E19" i="14"/>
  <c r="F16" i="14"/>
  <c r="F12" i="14"/>
  <c r="F10" i="14"/>
  <c r="D10" i="14"/>
  <c r="F9" i="14"/>
  <c r="D9" i="14"/>
  <c r="C9" i="14"/>
  <c r="F8" i="14"/>
  <c r="D8" i="14"/>
  <c r="F7" i="14"/>
  <c r="D7" i="14"/>
  <c r="F6" i="14"/>
  <c r="D6" i="14"/>
  <c r="B5" i="14"/>
  <c r="F5" i="14" s="1"/>
  <c r="F4" i="14"/>
  <c r="F11" i="14" s="1"/>
  <c r="D4" i="14"/>
  <c r="F3" i="14"/>
  <c r="D3" i="14"/>
  <c r="C33" i="13"/>
  <c r="F19" i="13" s="1"/>
  <c r="F21" i="13" s="1"/>
  <c r="E19" i="13"/>
  <c r="F10" i="13"/>
  <c r="D10" i="13"/>
  <c r="F9" i="13"/>
  <c r="D9" i="13"/>
  <c r="C9" i="13"/>
  <c r="F8" i="13"/>
  <c r="D8" i="13"/>
  <c r="F7" i="13"/>
  <c r="D7" i="13"/>
  <c r="F6" i="13"/>
  <c r="D6" i="13"/>
  <c r="D11" i="13" s="1"/>
  <c r="F5" i="13"/>
  <c r="D5" i="13"/>
  <c r="B5" i="13"/>
  <c r="F4" i="13"/>
  <c r="F11" i="13" s="1"/>
  <c r="D4" i="13"/>
  <c r="F3" i="13"/>
  <c r="D3" i="13"/>
  <c r="C33" i="12"/>
  <c r="F21" i="12"/>
  <c r="F19" i="12"/>
  <c r="E19" i="12"/>
  <c r="D10" i="12"/>
  <c r="B10" i="12"/>
  <c r="F10" i="12" s="1"/>
  <c r="F9" i="12"/>
  <c r="C9" i="12"/>
  <c r="D9" i="12" s="1"/>
  <c r="D11" i="12" s="1"/>
  <c r="F8" i="12"/>
  <c r="D8" i="12"/>
  <c r="F7" i="12"/>
  <c r="D7" i="12"/>
  <c r="F6" i="12"/>
  <c r="D6" i="12"/>
  <c r="F5" i="12"/>
  <c r="D5" i="12"/>
  <c r="F4" i="12"/>
  <c r="D4" i="12"/>
  <c r="F3" i="12"/>
  <c r="F11" i="12" s="1"/>
  <c r="D3" i="12"/>
  <c r="C33" i="11"/>
  <c r="F19" i="11" s="1"/>
  <c r="F20" i="11"/>
  <c r="E19" i="11"/>
  <c r="F18" i="11"/>
  <c r="B10" i="11"/>
  <c r="F10" i="11" s="1"/>
  <c r="F9" i="11"/>
  <c r="D9" i="11"/>
  <c r="C9" i="11"/>
  <c r="F8" i="11"/>
  <c r="D8" i="11"/>
  <c r="F7" i="11"/>
  <c r="D7" i="11"/>
  <c r="F6" i="11"/>
  <c r="F11" i="11" s="1"/>
  <c r="D6" i="11"/>
  <c r="F5" i="11"/>
  <c r="D5" i="11"/>
  <c r="F4" i="11"/>
  <c r="D4" i="11"/>
  <c r="F3" i="11"/>
  <c r="D3" i="11"/>
  <c r="C33" i="10"/>
  <c r="F19" i="10"/>
  <c r="E19" i="10"/>
  <c r="F18" i="10"/>
  <c r="F16" i="10"/>
  <c r="F21" i="10" s="1"/>
  <c r="F10" i="10"/>
  <c r="D10" i="10"/>
  <c r="F9" i="10"/>
  <c r="C9" i="10"/>
  <c r="D9" i="10" s="1"/>
  <c r="F8" i="10"/>
  <c r="D8" i="10"/>
  <c r="F7" i="10"/>
  <c r="D7" i="10"/>
  <c r="F6" i="10"/>
  <c r="D6" i="10"/>
  <c r="F5" i="10"/>
  <c r="F11" i="10" s="1"/>
  <c r="D5" i="10"/>
  <c r="F4" i="10"/>
  <c r="D4" i="10"/>
  <c r="F3" i="10"/>
  <c r="D3" i="10"/>
  <c r="D11" i="10" s="1"/>
  <c r="C31" i="9"/>
  <c r="C30" i="9"/>
  <c r="C23" i="9"/>
  <c r="C32" i="9" s="1"/>
  <c r="F18" i="9" s="1"/>
  <c r="F20" i="9" s="1"/>
  <c r="E18" i="9"/>
  <c r="F17" i="9"/>
  <c r="F15" i="9"/>
  <c r="F10" i="9"/>
  <c r="D10" i="9"/>
  <c r="F9" i="9"/>
  <c r="D9" i="9"/>
  <c r="C9" i="9"/>
  <c r="F8" i="9"/>
  <c r="D8" i="9"/>
  <c r="F7" i="9"/>
  <c r="D7" i="9"/>
  <c r="F6" i="9"/>
  <c r="F11" i="9" s="1"/>
  <c r="D6" i="9"/>
  <c r="F5" i="9"/>
  <c r="D5" i="9"/>
  <c r="F4" i="9"/>
  <c r="D4" i="9"/>
  <c r="D11" i="9" s="1"/>
  <c r="F3" i="9"/>
  <c r="D3" i="9"/>
  <c r="B49" i="8"/>
  <c r="B47" i="8"/>
  <c r="A47" i="8"/>
  <c r="B46" i="8"/>
  <c r="A45" i="8"/>
  <c r="B44" i="8"/>
  <c r="A44" i="8"/>
  <c r="B40" i="8"/>
  <c r="B39" i="8"/>
  <c r="B37" i="8"/>
  <c r="C24" i="8"/>
  <c r="C22" i="8"/>
  <c r="B38" i="8" s="1"/>
  <c r="C20" i="8"/>
  <c r="C19" i="8"/>
  <c r="B45" i="8" s="1"/>
  <c r="B48" i="8" s="1"/>
  <c r="E18" i="8"/>
  <c r="F16" i="8"/>
  <c r="F15" i="8"/>
  <c r="B36" i="8" s="1"/>
  <c r="B42" i="8" s="1"/>
  <c r="F10" i="8"/>
  <c r="D10" i="8"/>
  <c r="F9" i="8"/>
  <c r="D9" i="8"/>
  <c r="C9" i="8"/>
  <c r="B9" i="8"/>
  <c r="B8" i="8"/>
  <c r="F8" i="8" s="1"/>
  <c r="F7" i="8"/>
  <c r="D7" i="8"/>
  <c r="F6" i="8"/>
  <c r="D6" i="8"/>
  <c r="F5" i="8"/>
  <c r="D5" i="8"/>
  <c r="B5" i="8"/>
  <c r="F4" i="8"/>
  <c r="D4" i="8"/>
  <c r="B4" i="8"/>
  <c r="F3" i="8"/>
  <c r="F11" i="8" s="1"/>
  <c r="D3" i="8"/>
  <c r="C32" i="7"/>
  <c r="F18" i="7" s="1"/>
  <c r="C27" i="7"/>
  <c r="C20" i="7"/>
  <c r="E18" i="7"/>
  <c r="C18" i="7"/>
  <c r="F17" i="7"/>
  <c r="F16" i="7"/>
  <c r="F15" i="7"/>
  <c r="F10" i="7"/>
  <c r="D10" i="7"/>
  <c r="B10" i="7"/>
  <c r="F9" i="7"/>
  <c r="D9" i="7"/>
  <c r="F8" i="7"/>
  <c r="D8" i="7"/>
  <c r="F7" i="7"/>
  <c r="D7" i="7"/>
  <c r="F6" i="7"/>
  <c r="D6" i="7"/>
  <c r="F5" i="7"/>
  <c r="D5" i="7"/>
  <c r="F4" i="7"/>
  <c r="D4" i="7"/>
  <c r="F3" i="7"/>
  <c r="F11" i="7" s="1"/>
  <c r="D3" i="7"/>
  <c r="D11" i="7" s="1"/>
  <c r="C20" i="6"/>
  <c r="C26" i="6" s="1"/>
  <c r="F18" i="6" s="1"/>
  <c r="E18" i="6"/>
  <c r="C18" i="6"/>
  <c r="C17" i="6"/>
  <c r="F16" i="6"/>
  <c r="F15" i="6"/>
  <c r="F10" i="6"/>
  <c r="D10" i="6"/>
  <c r="F9" i="6"/>
  <c r="D9" i="6"/>
  <c r="F8" i="6"/>
  <c r="D8" i="6"/>
  <c r="F7" i="6"/>
  <c r="D7" i="6"/>
  <c r="B7" i="6"/>
  <c r="B6" i="6"/>
  <c r="F6" i="6" s="1"/>
  <c r="F5" i="6"/>
  <c r="D5" i="6"/>
  <c r="F4" i="6"/>
  <c r="D4" i="6"/>
  <c r="B3" i="6"/>
  <c r="F3" i="6" s="1"/>
  <c r="F11" i="6" s="1"/>
  <c r="C23" i="4"/>
  <c r="C22" i="4"/>
  <c r="C21" i="4"/>
  <c r="C19" i="4"/>
  <c r="E18" i="4"/>
  <c r="C17" i="4"/>
  <c r="C25" i="4" s="1"/>
  <c r="F18" i="4" s="1"/>
  <c r="F15" i="4"/>
  <c r="F19" i="4" s="1"/>
  <c r="F10" i="4"/>
  <c r="D10" i="4"/>
  <c r="F9" i="4"/>
  <c r="D9" i="4"/>
  <c r="F8" i="4"/>
  <c r="D8" i="4"/>
  <c r="F7" i="4"/>
  <c r="D7" i="4"/>
  <c r="B7" i="4"/>
  <c r="B6" i="4"/>
  <c r="D6" i="4" s="1"/>
  <c r="F5" i="4"/>
  <c r="D5" i="4"/>
  <c r="F4" i="4"/>
  <c r="D4" i="4"/>
  <c r="B3" i="4"/>
  <c r="F3" i="4" s="1"/>
  <c r="C22" i="3"/>
  <c r="F18" i="3" s="1"/>
  <c r="F19" i="3" s="1"/>
  <c r="C19" i="3"/>
  <c r="E18" i="3"/>
  <c r="F17" i="3"/>
  <c r="F15" i="3"/>
  <c r="B10" i="3"/>
  <c r="D10" i="3" s="1"/>
  <c r="F9" i="3"/>
  <c r="D9" i="3"/>
  <c r="D36" i="3" s="1"/>
  <c r="F8" i="3"/>
  <c r="D8" i="3"/>
  <c r="F7" i="3"/>
  <c r="D7" i="3"/>
  <c r="F6" i="3"/>
  <c r="D6" i="3"/>
  <c r="F5" i="3"/>
  <c r="D5" i="3"/>
  <c r="F4" i="3"/>
  <c r="D4" i="3"/>
  <c r="F3" i="3"/>
  <c r="D3" i="3"/>
  <c r="D11" i="3" s="1"/>
  <c r="D6" i="2"/>
  <c r="D7" i="2" s="1"/>
  <c r="D5" i="2"/>
  <c r="D4" i="2"/>
  <c r="C24" i="1"/>
  <c r="C22" i="1"/>
  <c r="F18" i="1" s="1"/>
  <c r="F19" i="1" s="1"/>
  <c r="E18" i="1"/>
  <c r="F17" i="1"/>
  <c r="F10" i="1"/>
  <c r="D10" i="1"/>
  <c r="F9" i="1"/>
  <c r="D9" i="1"/>
  <c r="F8" i="1"/>
  <c r="F11" i="1" s="1"/>
  <c r="D8" i="1"/>
  <c r="F7" i="1"/>
  <c r="D7" i="1"/>
  <c r="F6" i="1"/>
  <c r="D6" i="1"/>
  <c r="F5" i="1"/>
  <c r="D5" i="1"/>
  <c r="F4" i="1"/>
  <c r="D4" i="1"/>
  <c r="D11" i="1" s="1"/>
  <c r="D14" i="34" l="1"/>
  <c r="F14" i="34"/>
  <c r="F15" i="32"/>
  <c r="D17" i="31"/>
  <c r="F21" i="1"/>
  <c r="F12" i="1"/>
  <c r="F21" i="9"/>
  <c r="F12" i="9"/>
  <c r="D11" i="14"/>
  <c r="F11" i="16"/>
  <c r="B51" i="8"/>
  <c r="B52" i="8" s="1"/>
  <c r="F21" i="11"/>
  <c r="D11" i="16"/>
  <c r="F12" i="7"/>
  <c r="F22" i="10"/>
  <c r="F13" i="10"/>
  <c r="F13" i="15"/>
  <c r="F22" i="15"/>
  <c r="F13" i="17"/>
  <c r="F23" i="17"/>
  <c r="F24" i="20"/>
  <c r="F14" i="20"/>
  <c r="F24" i="27"/>
  <c r="F25" i="27" s="1"/>
  <c r="F24" i="23"/>
  <c r="F25" i="23" s="1"/>
  <c r="E29" i="23" s="1"/>
  <c r="F15" i="25"/>
  <c r="F25" i="25"/>
  <c r="F15" i="26"/>
  <c r="F25" i="26"/>
  <c r="F14" i="19"/>
  <c r="F24" i="19"/>
  <c r="F19" i="6"/>
  <c r="F21" i="6" s="1"/>
  <c r="F22" i="12"/>
  <c r="F13" i="12"/>
  <c r="D11" i="11"/>
  <c r="F13" i="11" s="1"/>
  <c r="F22" i="13"/>
  <c r="F13" i="13"/>
  <c r="F15" i="23"/>
  <c r="F22" i="11"/>
  <c r="F22" i="14"/>
  <c r="F13" i="14"/>
  <c r="F12" i="8"/>
  <c r="F15" i="27"/>
  <c r="F15" i="28"/>
  <c r="F25" i="28"/>
  <c r="F20" i="8"/>
  <c r="F21" i="8" s="1"/>
  <c r="D11" i="8"/>
  <c r="F15" i="22"/>
  <c r="F25" i="22"/>
  <c r="F19" i="7"/>
  <c r="F21" i="7" s="1"/>
  <c r="F11" i="18"/>
  <c r="C32" i="8"/>
  <c r="F18" i="8" s="1"/>
  <c r="D8" i="8"/>
  <c r="F15" i="21"/>
  <c r="F15" i="24"/>
  <c r="D3" i="4"/>
  <c r="D11" i="4" s="1"/>
  <c r="D3" i="6"/>
  <c r="D11" i="6" s="1"/>
  <c r="F12" i="6" s="1"/>
  <c r="D10" i="11"/>
  <c r="F10" i="3"/>
  <c r="F11" i="3" s="1"/>
  <c r="F6" i="4"/>
  <c r="F11" i="4" s="1"/>
  <c r="D5" i="14"/>
  <c r="D5" i="16"/>
  <c r="D5" i="18"/>
  <c r="D11" i="18" s="1"/>
  <c r="D6" i="6"/>
  <c r="F16" i="34" l="1"/>
  <c r="F19" i="31"/>
  <c r="F21" i="4"/>
  <c r="F12" i="4"/>
  <c r="F21" i="3"/>
  <c r="F12" i="3"/>
  <c r="F23" i="16"/>
  <c r="F13" i="16"/>
  <c r="F23" i="18"/>
  <c r="F13" i="18"/>
  <c r="F23" i="34"/>
  <c r="F25" i="34" s="1"/>
  <c r="F26" i="34" s="1"/>
  <c r="C28" i="31"/>
  <c r="F26" i="31"/>
  <c r="F28" i="31"/>
  <c r="F29" i="31"/>
</calcChain>
</file>

<file path=xl/sharedStrings.xml><?xml version="1.0" encoding="utf-8"?>
<sst xmlns="http://schemas.openxmlformats.org/spreadsheetml/2006/main" count="1130" uniqueCount="218">
  <si>
    <t>Item</t>
  </si>
  <si>
    <t xml:space="preserve">Qty </t>
  </si>
  <si>
    <t>Cost Price per Unit</t>
  </si>
  <si>
    <t>Amount</t>
  </si>
  <si>
    <t>Sell Price per Unit</t>
  </si>
  <si>
    <t>Sugar Donuts</t>
  </si>
  <si>
    <t>Sausage Roll</t>
  </si>
  <si>
    <t>Jam Donuts</t>
  </si>
  <si>
    <t>Doggers Bread</t>
  </si>
  <si>
    <t>Chicken Pie</t>
  </si>
  <si>
    <t>Meat Pie</t>
  </si>
  <si>
    <t xml:space="preserve">Zobo </t>
  </si>
  <si>
    <t>Total Profit</t>
  </si>
  <si>
    <t xml:space="preserve">Receipts </t>
  </si>
  <si>
    <t>Bank Transfer</t>
  </si>
  <si>
    <t>Cash (Anu)</t>
  </si>
  <si>
    <t>Cash(Seyifunmi)</t>
  </si>
  <si>
    <t>Total</t>
  </si>
  <si>
    <t>Change</t>
  </si>
  <si>
    <t>Not Paid</t>
  </si>
  <si>
    <t xml:space="preserve">Difference </t>
  </si>
  <si>
    <t>Min Pipe</t>
  </si>
  <si>
    <t>Amarachi</t>
  </si>
  <si>
    <t xml:space="preserve">Min. Blessing </t>
  </si>
  <si>
    <t>Min. Ife</t>
  </si>
  <si>
    <t>Pastor Mayowa</t>
  </si>
  <si>
    <t>Min Kazeem</t>
  </si>
  <si>
    <t>Anu</t>
  </si>
  <si>
    <t>Alemz</t>
  </si>
  <si>
    <t>Price per Unit</t>
  </si>
  <si>
    <t>Chips</t>
  </si>
  <si>
    <t>Cash(Min Tade)</t>
  </si>
  <si>
    <t>Min Tade</t>
  </si>
  <si>
    <t>Cash(Anu)</t>
  </si>
  <si>
    <t xml:space="preserve">Dir Gabriel </t>
  </si>
  <si>
    <t>Min. Tosin</t>
  </si>
  <si>
    <t>Chips remaining</t>
  </si>
  <si>
    <t>Min Tosin</t>
  </si>
  <si>
    <t>Olayemi</t>
  </si>
  <si>
    <t>Min Pelumi</t>
  </si>
  <si>
    <t>Seyifunmi</t>
  </si>
  <si>
    <t>Engr Ife</t>
  </si>
  <si>
    <t xml:space="preserve">Anniversaries </t>
  </si>
  <si>
    <t>Name</t>
  </si>
  <si>
    <t>Date</t>
  </si>
  <si>
    <t>The Abolarins</t>
  </si>
  <si>
    <t>The Oladunjoyes</t>
  </si>
  <si>
    <t>Birthdays</t>
  </si>
  <si>
    <t>FISRT NAME</t>
  </si>
  <si>
    <t>LAST NAME</t>
  </si>
  <si>
    <t>BIRTHDATE</t>
  </si>
  <si>
    <t>GENDER</t>
  </si>
  <si>
    <t>UNIT</t>
  </si>
  <si>
    <t xml:space="preserve"> STATUS</t>
  </si>
  <si>
    <t>Jumoke</t>
  </si>
  <si>
    <t>Adeboye</t>
  </si>
  <si>
    <t xml:space="preserve">Female </t>
  </si>
  <si>
    <t>Buzz</t>
  </si>
  <si>
    <t>DC</t>
  </si>
  <si>
    <t>Tosin</t>
  </si>
  <si>
    <t>Oyebanji</t>
  </si>
  <si>
    <t>Male</t>
  </si>
  <si>
    <t>Protocol</t>
  </si>
  <si>
    <t>LXL</t>
  </si>
  <si>
    <t>Pelumi</t>
  </si>
  <si>
    <t>Yusuf</t>
  </si>
  <si>
    <t>Female</t>
  </si>
  <si>
    <t>Tribe's Heart</t>
  </si>
  <si>
    <t>Ebube</t>
  </si>
  <si>
    <t>Opara</t>
  </si>
  <si>
    <t>The Beckoners</t>
  </si>
  <si>
    <t>Emmanuel</t>
  </si>
  <si>
    <t>Ayeni</t>
  </si>
  <si>
    <t>J94</t>
  </si>
  <si>
    <t>Hannah</t>
  </si>
  <si>
    <t>Mabayoje</t>
  </si>
  <si>
    <t>Chioma</t>
  </si>
  <si>
    <t>Kalu</t>
  </si>
  <si>
    <t>TGX</t>
  </si>
  <si>
    <t>Olamide</t>
  </si>
  <si>
    <t>Agusto</t>
  </si>
  <si>
    <t>Chi Chi</t>
  </si>
  <si>
    <t>Edidiong</t>
  </si>
  <si>
    <t>Isong</t>
  </si>
  <si>
    <t xml:space="preserve">Gabriel </t>
  </si>
  <si>
    <t>Ologbonjaiye</t>
  </si>
  <si>
    <t>Facility</t>
  </si>
  <si>
    <t>Director</t>
  </si>
  <si>
    <t>Ayomide</t>
  </si>
  <si>
    <t>Ajewole</t>
  </si>
  <si>
    <t>Regular Member</t>
  </si>
  <si>
    <t>Tobi</t>
  </si>
  <si>
    <t>Fadipe</t>
  </si>
  <si>
    <t>Olamilekan</t>
  </si>
  <si>
    <t>Odunlade</t>
  </si>
  <si>
    <t>Esther</t>
  </si>
  <si>
    <t>Oje</t>
  </si>
  <si>
    <t xml:space="preserve">WhatsApp and mobile number not reachable </t>
  </si>
  <si>
    <t>Titilopemi</t>
  </si>
  <si>
    <t xml:space="preserve">Number does not exist </t>
  </si>
  <si>
    <t>Kingsley</t>
  </si>
  <si>
    <t>Solomom</t>
  </si>
  <si>
    <t>Oyetunde</t>
  </si>
  <si>
    <t>Delight</t>
  </si>
  <si>
    <t>Salami</t>
  </si>
  <si>
    <t>Olives</t>
  </si>
  <si>
    <t>Oladipo</t>
  </si>
  <si>
    <t>2-23-25</t>
  </si>
  <si>
    <t>Elora</t>
  </si>
  <si>
    <t>Oladunjoye</t>
  </si>
  <si>
    <t>2-28-25</t>
  </si>
  <si>
    <t>Min Blessing</t>
  </si>
  <si>
    <t xml:space="preserve">Min. Abigail </t>
  </si>
  <si>
    <t>Min Gift</t>
  </si>
  <si>
    <t>Eddy</t>
  </si>
  <si>
    <t>Eniola</t>
  </si>
  <si>
    <t>GIA</t>
  </si>
  <si>
    <t>Paid</t>
  </si>
  <si>
    <t>Nonso</t>
  </si>
  <si>
    <t xml:space="preserve">Min Tosin </t>
  </si>
  <si>
    <t xml:space="preserve">Paid </t>
  </si>
  <si>
    <t xml:space="preserve">Anu </t>
  </si>
  <si>
    <t>Min. Godwin</t>
  </si>
  <si>
    <t>Christianah</t>
  </si>
  <si>
    <t>Scotch Egg</t>
  </si>
  <si>
    <t xml:space="preserve">Sent to Min Tade's account </t>
  </si>
  <si>
    <t xml:space="preserve">Seyifunmi </t>
  </si>
  <si>
    <t>Godwin</t>
  </si>
  <si>
    <t xml:space="preserve">Transfer </t>
  </si>
  <si>
    <t>Tobi sent directly</t>
  </si>
  <si>
    <t>Min Godwin</t>
  </si>
  <si>
    <t xml:space="preserve">Total receipt </t>
  </si>
  <si>
    <t xml:space="preserve">Total outstanding </t>
  </si>
  <si>
    <t>Chocolate cake</t>
  </si>
  <si>
    <t xml:space="preserve">Go forth </t>
  </si>
  <si>
    <t xml:space="preserve">Mrs Ibukun </t>
  </si>
  <si>
    <t>Gift</t>
  </si>
  <si>
    <t>Tunji</t>
  </si>
  <si>
    <t>Joey</t>
  </si>
  <si>
    <t xml:space="preserve">Afolake </t>
  </si>
  <si>
    <t>Mr Tunde</t>
  </si>
  <si>
    <t>Logistics</t>
  </si>
  <si>
    <t>GoForth</t>
  </si>
  <si>
    <t xml:space="preserve">Min Abigail </t>
  </si>
  <si>
    <t>Mrs Ibukun</t>
  </si>
  <si>
    <t>Pastor Itoro</t>
  </si>
  <si>
    <t>Folashayo</t>
  </si>
  <si>
    <t>Engr. Ife</t>
  </si>
  <si>
    <t>Pastors</t>
  </si>
  <si>
    <t>Min. Abigai</t>
  </si>
  <si>
    <t>Banana Bread</t>
  </si>
  <si>
    <t>Transfer(Anu)</t>
  </si>
  <si>
    <t xml:space="preserve">Outstanding </t>
  </si>
  <si>
    <t>Paid to Min. Tade</t>
  </si>
  <si>
    <t>Min Abigail</t>
  </si>
  <si>
    <t>Paid to Anu</t>
  </si>
  <si>
    <t>Dir Gabriel</t>
  </si>
  <si>
    <t>Sent</t>
  </si>
  <si>
    <t>Paid to Min Tade</t>
  </si>
  <si>
    <t>Ibukun(Anu)</t>
  </si>
  <si>
    <t>Chinonso</t>
  </si>
  <si>
    <t>Engr Ife(Anu)</t>
  </si>
  <si>
    <t>Min abigail(Anu)</t>
  </si>
  <si>
    <t xml:space="preserve">Folashayo </t>
  </si>
  <si>
    <t>Paid(sent)</t>
  </si>
  <si>
    <t>Ibukun</t>
  </si>
  <si>
    <t>Min Thank God</t>
  </si>
  <si>
    <t>Cash</t>
  </si>
  <si>
    <t>Transfer(Tade)</t>
  </si>
  <si>
    <t>Pastor Yinka</t>
  </si>
  <si>
    <t>Dir Eniola</t>
  </si>
  <si>
    <t xml:space="preserve">Eddy </t>
  </si>
  <si>
    <t>Afolake</t>
  </si>
  <si>
    <t>Any</t>
  </si>
  <si>
    <t>Zobo(Big)</t>
  </si>
  <si>
    <t>Zobo for P. Yinks</t>
  </si>
  <si>
    <t>Scott</t>
  </si>
  <si>
    <t>Pastor Protocol (Lady)</t>
  </si>
  <si>
    <t>Ijeoma</t>
  </si>
  <si>
    <t>Pastor's Welfare- Zobo</t>
  </si>
  <si>
    <t>Egg Roll</t>
  </si>
  <si>
    <t>Zobo for P. Yinks &amp; Aby</t>
  </si>
  <si>
    <t>Min Ebube</t>
  </si>
  <si>
    <t>Caleb</t>
  </si>
  <si>
    <t xml:space="preserve">Liability </t>
  </si>
  <si>
    <t>Ramat</t>
  </si>
  <si>
    <t>*She paid 2000 for banana bread but didn't take it</t>
  </si>
  <si>
    <t xml:space="preserve">Alemz </t>
  </si>
  <si>
    <t>Payment from last week</t>
  </si>
  <si>
    <t>Unknown</t>
  </si>
  <si>
    <t>Others</t>
  </si>
  <si>
    <t>Pastor Aby</t>
  </si>
  <si>
    <t>Min Busola</t>
  </si>
  <si>
    <t>Sayo</t>
  </si>
  <si>
    <t>Min ThankGod</t>
  </si>
  <si>
    <t>Zobo for Pastor Dami</t>
  </si>
  <si>
    <t>Dir Eni</t>
  </si>
  <si>
    <t>Dir Timi</t>
  </si>
  <si>
    <t>Min Habib</t>
  </si>
  <si>
    <t>Chike</t>
  </si>
  <si>
    <t>Zobo for Pastors</t>
  </si>
  <si>
    <t>Folakemi</t>
  </si>
  <si>
    <t>Smalll Zobo Remaining (7)</t>
  </si>
  <si>
    <t>Shayo</t>
  </si>
  <si>
    <t>*Anu mentioned that Old English didn't give us the complete snack but have agreed to include it in the next order</t>
  </si>
  <si>
    <t>1 chicken pie</t>
  </si>
  <si>
    <t xml:space="preserve">3 Jam donuts </t>
  </si>
  <si>
    <t>1 meat pie</t>
  </si>
  <si>
    <t>Engr Akin Ife</t>
  </si>
  <si>
    <t>6th Apr</t>
  </si>
  <si>
    <t>* Captured in next week's data</t>
  </si>
  <si>
    <t xml:space="preserve">Extras from last week </t>
  </si>
  <si>
    <t>Snacks for Pastors</t>
  </si>
  <si>
    <t>Busayo</t>
  </si>
  <si>
    <t>Timi</t>
  </si>
  <si>
    <t>Min. Gift</t>
  </si>
  <si>
    <t>Dir. Timi</t>
  </si>
  <si>
    <t>Min. Blessing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</si>
</sst>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yy"/>
    <numFmt numFmtId="165" formatCode="m/d"/>
    <numFmt numFmtId="166" formatCode="d/m/yyyy"/>
    <numFmt numFmtId="167" formatCode="yyyy/m"/>
    <numFmt numFmtId="168" formatCode="d\ mmmm"/>
    <numFmt numFmtId="169" formatCode="d\ mmm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theme="1"/>
      <name val="Arial"/>
      <family val="2"/>
      <scheme val="minor"/>
    </font>
    <font>
      <sz val="10"/>
      <color rgb="FF3C78D8"/>
      <name val="Arial"/>
      <family val="2"/>
      <scheme val="minor"/>
    </font>
    <font>
      <b/>
      <sz val="10"/>
      <color rgb="FF4A86E8"/>
      <name val="Arial"/>
      <family val="2"/>
      <scheme val="minor"/>
    </font>
    <font>
      <i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8"/>
      <color theme="5" tint="0.39997558519241921"/>
      <name val="Arial"/>
      <family val="2"/>
      <scheme val="minor"/>
    </font>
    <font>
      <sz val="10"/>
      <color rgb="FF3C78D8"/>
      <name val="Arial"/>
      <family val="2"/>
      <scheme val="minor"/>
    </font>
    <font>
      <b/>
      <sz val="10"/>
      <color theme="5" tint="-0.249977111117893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AEABAB"/>
        <bgColor rgb="FFAEABAB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2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  <xf numFmtId="0" fontId="1" fillId="0" borderId="0" xfId="0" applyFont="1"/>
    <xf numFmtId="0" fontId="2" fillId="0" borderId="0" xfId="0" applyFont="1"/>
    <xf numFmtId="4" fontId="2" fillId="4" borderId="1" xfId="0" applyNumberFormat="1" applyFont="1" applyFill="1" applyBorder="1"/>
    <xf numFmtId="0" fontId="1" fillId="0" borderId="1" xfId="0" applyFont="1" applyBorder="1"/>
    <xf numFmtId="4" fontId="1" fillId="0" borderId="1" xfId="0" applyNumberFormat="1" applyFont="1" applyBorder="1"/>
    <xf numFmtId="0" fontId="1" fillId="5" borderId="1" xfId="0" applyFont="1" applyFill="1" applyBorder="1"/>
    <xf numFmtId="164" fontId="2" fillId="0" borderId="1" xfId="0" applyNumberFormat="1" applyFont="1" applyBorder="1"/>
    <xf numFmtId="0" fontId="1" fillId="5" borderId="0" xfId="0" applyFont="1" applyFill="1"/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0" fontId="4" fillId="8" borderId="7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166" fontId="4" fillId="0" borderId="4" xfId="0" applyNumberFormat="1" applyFont="1" applyBorder="1" applyAlignment="1">
      <alignment horizontal="right"/>
    </xf>
    <xf numFmtId="0" fontId="4" fillId="8" borderId="8" xfId="0" applyFont="1" applyFill="1" applyBorder="1"/>
    <xf numFmtId="1" fontId="4" fillId="0" borderId="4" xfId="0" applyNumberFormat="1" applyFont="1" applyBorder="1" applyAlignment="1">
      <alignment horizontal="right"/>
    </xf>
    <xf numFmtId="0" fontId="4" fillId="10" borderId="8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right"/>
    </xf>
    <xf numFmtId="166" fontId="4" fillId="0" borderId="10" xfId="0" applyNumberFormat="1" applyFont="1" applyBorder="1" applyAlignment="1">
      <alignment horizontal="right"/>
    </xf>
    <xf numFmtId="0" fontId="4" fillId="8" borderId="11" xfId="0" applyFont="1" applyFill="1" applyBorder="1"/>
    <xf numFmtId="0" fontId="1" fillId="11" borderId="0" xfId="0" applyFont="1" applyFill="1"/>
    <xf numFmtId="167" fontId="2" fillId="0" borderId="0" xfId="0" applyNumberFormat="1" applyFont="1"/>
    <xf numFmtId="4" fontId="1" fillId="0" borderId="0" xfId="0" applyNumberFormat="1" applyFont="1"/>
    <xf numFmtId="4" fontId="2" fillId="12" borderId="1" xfId="0" applyNumberFormat="1" applyFont="1" applyFill="1" applyBorder="1"/>
    <xf numFmtId="4" fontId="2" fillId="5" borderId="1" xfId="0" applyNumberFormat="1" applyFont="1" applyFill="1" applyBorder="1"/>
    <xf numFmtId="0" fontId="5" fillId="0" borderId="0" xfId="0" applyFont="1"/>
    <xf numFmtId="4" fontId="5" fillId="0" borderId="0" xfId="0" applyNumberFormat="1" applyFont="1"/>
    <xf numFmtId="0" fontId="6" fillId="0" borderId="1" xfId="0" applyFont="1" applyBorder="1"/>
    <xf numFmtId="4" fontId="7" fillId="3" borderId="0" xfId="0" applyNumberFormat="1" applyFont="1" applyFill="1"/>
    <xf numFmtId="4" fontId="6" fillId="0" borderId="1" xfId="0" applyNumberFormat="1" applyFont="1" applyBorder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168" fontId="2" fillId="0" borderId="0" xfId="0" applyNumberFormat="1" applyFont="1"/>
    <xf numFmtId="169" fontId="2" fillId="0" borderId="0" xfId="0" applyNumberFormat="1" applyFont="1"/>
    <xf numFmtId="0" fontId="11" fillId="0" borderId="0" xfId="0" applyFont="1"/>
    <xf numFmtId="0" fontId="10" fillId="0" borderId="0" xfId="0" applyFont="1"/>
    <xf numFmtId="3" fontId="10" fillId="0" borderId="0" xfId="0" applyNumberFormat="1" applyFont="1"/>
    <xf numFmtId="3" fontId="11" fillId="0" borderId="0" xfId="0" applyNumberFormat="1" applyFont="1"/>
    <xf numFmtId="0" fontId="6" fillId="0" borderId="0" xfId="0" applyFont="1"/>
    <xf numFmtId="0" fontId="13" fillId="0" borderId="1" xfId="0" applyFont="1" applyBorder="1"/>
    <xf numFmtId="0" fontId="6" fillId="0" borderId="3" xfId="0" applyFont="1" applyBorder="1"/>
    <xf numFmtId="0" fontId="6" fillId="0" borderId="4" xfId="0" applyFont="1" applyBorder="1"/>
    <xf numFmtId="0" fontId="8" fillId="0" borderId="0" xfId="0" applyFont="1" applyAlignment="1">
      <alignment wrapText="1"/>
    </xf>
    <xf numFmtId="0" fontId="0" fillId="0" borderId="0" xfId="0"/>
    <xf numFmtId="0" fontId="12" fillId="0" borderId="0" xfId="0" applyFont="1" applyAlignment="1">
      <alignment horizontal="center" wrapText="1"/>
    </xf>
    <xf numFmtId="0" fontId="1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F29"/>
  <sheetViews>
    <sheetView topLeftCell="A2" workbookViewId="0"/>
  </sheetViews>
  <sheetFormatPr baseColWidth="10" defaultColWidth="12.6640625" defaultRowHeight="15.75" customHeight="1" x14ac:dyDescent="0.15"/>
  <cols>
    <col min="2" max="2" width="4" customWidth="1"/>
    <col min="3" max="3" width="15" customWidth="1"/>
    <col min="4" max="4" width="10.1640625" customWidth="1"/>
    <col min="5" max="5" width="16.83203125" customWidth="1"/>
  </cols>
  <sheetData>
    <row r="3" spans="1:6" ht="15.7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</v>
      </c>
    </row>
    <row r="4" spans="1:6" ht="15.75" customHeight="1" x14ac:dyDescent="0.15">
      <c r="A4" s="2" t="s">
        <v>5</v>
      </c>
      <c r="B4" s="2">
        <v>15</v>
      </c>
      <c r="C4" s="2">
        <v>400</v>
      </c>
      <c r="D4" s="3">
        <f t="shared" ref="D4:D10" si="0">B4*C4</f>
        <v>6000</v>
      </c>
      <c r="E4" s="2">
        <v>450</v>
      </c>
      <c r="F4" s="3">
        <f t="shared" ref="F4:F10" si="1">B4*E4</f>
        <v>6750</v>
      </c>
    </row>
    <row r="5" spans="1:6" ht="15.75" customHeight="1" x14ac:dyDescent="0.15">
      <c r="A5" s="2" t="s">
        <v>6</v>
      </c>
      <c r="B5" s="2">
        <v>30</v>
      </c>
      <c r="C5" s="2">
        <v>500</v>
      </c>
      <c r="D5" s="3">
        <f t="shared" si="0"/>
        <v>15000</v>
      </c>
      <c r="E5" s="2">
        <v>700</v>
      </c>
      <c r="F5" s="3">
        <f t="shared" si="1"/>
        <v>21000</v>
      </c>
    </row>
    <row r="6" spans="1:6" ht="15.75" customHeight="1" x14ac:dyDescent="0.15">
      <c r="A6" s="2" t="s">
        <v>7</v>
      </c>
      <c r="B6" s="2">
        <v>15</v>
      </c>
      <c r="C6" s="2">
        <v>450</v>
      </c>
      <c r="D6" s="3">
        <f t="shared" si="0"/>
        <v>6750</v>
      </c>
      <c r="E6" s="2">
        <v>500</v>
      </c>
      <c r="F6" s="3">
        <f t="shared" si="1"/>
        <v>7500</v>
      </c>
    </row>
    <row r="7" spans="1:6" ht="15.75" customHeight="1" x14ac:dyDescent="0.15">
      <c r="A7" s="2" t="s">
        <v>8</v>
      </c>
      <c r="B7" s="2">
        <v>5</v>
      </c>
      <c r="C7" s="2">
        <v>1200</v>
      </c>
      <c r="D7" s="3">
        <f t="shared" si="0"/>
        <v>6000</v>
      </c>
      <c r="E7" s="2">
        <v>1400</v>
      </c>
      <c r="F7" s="3">
        <f t="shared" si="1"/>
        <v>7000</v>
      </c>
    </row>
    <row r="8" spans="1:6" ht="15.75" customHeight="1" x14ac:dyDescent="0.15">
      <c r="A8" s="2" t="s">
        <v>9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10</v>
      </c>
      <c r="B9" s="2">
        <v>20</v>
      </c>
      <c r="C9" s="2">
        <v>700</v>
      </c>
      <c r="D9" s="3">
        <f t="shared" si="0"/>
        <v>14000</v>
      </c>
      <c r="E9" s="2">
        <v>800</v>
      </c>
      <c r="F9" s="3">
        <f t="shared" si="1"/>
        <v>16000</v>
      </c>
    </row>
    <row r="10" spans="1:6" ht="15.75" customHeight="1" x14ac:dyDescent="0.15">
      <c r="A10" s="2" t="s">
        <v>11</v>
      </c>
      <c r="B10" s="2">
        <v>40</v>
      </c>
      <c r="C10" s="2">
        <v>250</v>
      </c>
      <c r="D10" s="3">
        <f t="shared" si="0"/>
        <v>10000</v>
      </c>
      <c r="E10" s="2">
        <v>500</v>
      </c>
      <c r="F10" s="3">
        <f t="shared" si="1"/>
        <v>20000</v>
      </c>
    </row>
    <row r="11" spans="1:6" ht="15.75" customHeight="1" x14ac:dyDescent="0.15">
      <c r="D11" s="4">
        <f>SUM(D4:D10)</f>
        <v>73750</v>
      </c>
      <c r="F11" s="4">
        <f>SUM(F4:F10)</f>
        <v>98250</v>
      </c>
    </row>
    <row r="12" spans="1:6" ht="15.75" customHeight="1" x14ac:dyDescent="0.15">
      <c r="E12" s="5" t="s">
        <v>12</v>
      </c>
      <c r="F12" s="6">
        <f>F11-D11</f>
        <v>24500</v>
      </c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v>53300</v>
      </c>
    </row>
    <row r="16" spans="1:6" ht="15.75" customHeight="1" x14ac:dyDescent="0.15">
      <c r="E16" s="2" t="s">
        <v>15</v>
      </c>
      <c r="F16" s="3">
        <v>18500</v>
      </c>
    </row>
    <row r="17" spans="1:6" ht="15.75" customHeight="1" x14ac:dyDescent="0.15">
      <c r="E17" s="2" t="s">
        <v>16</v>
      </c>
      <c r="F17" s="3">
        <f>2000</f>
        <v>2000</v>
      </c>
    </row>
    <row r="18" spans="1:6" ht="15.75" customHeight="1" x14ac:dyDescent="0.15">
      <c r="E18" s="2" t="str">
        <f>A21</f>
        <v>Not Paid</v>
      </c>
      <c r="F18" s="3">
        <f>SUM(C22:C29)</f>
        <v>19400</v>
      </c>
    </row>
    <row r="19" spans="1:6" ht="15.75" customHeight="1" x14ac:dyDescent="0.15">
      <c r="E19" s="2" t="s">
        <v>17</v>
      </c>
      <c r="F19" s="3">
        <f>SUM(F15:F18)</f>
        <v>93200</v>
      </c>
    </row>
    <row r="20" spans="1:6" ht="15.75" customHeight="1" x14ac:dyDescent="0.15">
      <c r="E20" s="2" t="s">
        <v>18</v>
      </c>
      <c r="F20" s="2">
        <v>50</v>
      </c>
    </row>
    <row r="21" spans="1:6" ht="15.75" customHeight="1" x14ac:dyDescent="0.15">
      <c r="A21" s="7" t="s">
        <v>19</v>
      </c>
      <c r="E21" s="8" t="s">
        <v>20</v>
      </c>
      <c r="F21" s="4">
        <f>F11-F19-F20</f>
        <v>5000</v>
      </c>
    </row>
    <row r="22" spans="1:6" ht="15.75" customHeight="1" x14ac:dyDescent="0.15">
      <c r="A22" s="2" t="s">
        <v>21</v>
      </c>
      <c r="B22" s="2"/>
      <c r="C22" s="9">
        <f>E4*3</f>
        <v>1350</v>
      </c>
    </row>
    <row r="23" spans="1:6" ht="15.75" customHeight="1" x14ac:dyDescent="0.15">
      <c r="A23" s="2" t="s">
        <v>22</v>
      </c>
      <c r="B23" s="2"/>
      <c r="C23" s="3">
        <v>900</v>
      </c>
    </row>
    <row r="24" spans="1:6" ht="15.75" customHeight="1" x14ac:dyDescent="0.15">
      <c r="A24" s="2" t="s">
        <v>23</v>
      </c>
      <c r="B24" s="2"/>
      <c r="C24" s="9">
        <f>3700</f>
        <v>3700</v>
      </c>
    </row>
    <row r="25" spans="1:6" ht="15.75" customHeight="1" x14ac:dyDescent="0.15">
      <c r="A25" s="2" t="s">
        <v>24</v>
      </c>
      <c r="B25" s="2"/>
      <c r="C25" s="9">
        <v>900</v>
      </c>
    </row>
    <row r="26" spans="1:6" ht="15.75" customHeight="1" x14ac:dyDescent="0.15">
      <c r="A26" s="2" t="s">
        <v>25</v>
      </c>
      <c r="B26" s="2"/>
      <c r="C26" s="9">
        <v>5500</v>
      </c>
    </row>
    <row r="27" spans="1:6" ht="15.75" customHeight="1" x14ac:dyDescent="0.15">
      <c r="A27" s="2" t="s">
        <v>26</v>
      </c>
      <c r="B27" s="2"/>
      <c r="C27" s="9">
        <v>2000</v>
      </c>
    </row>
    <row r="28" spans="1:6" ht="15.75" customHeight="1" x14ac:dyDescent="0.15">
      <c r="A28" s="2" t="s">
        <v>27</v>
      </c>
      <c r="B28" s="2"/>
      <c r="C28" s="9">
        <v>4100</v>
      </c>
    </row>
    <row r="29" spans="1:6" ht="15.75" customHeight="1" x14ac:dyDescent="0.15">
      <c r="A29" s="2" t="s">
        <v>28</v>
      </c>
      <c r="B29" s="2"/>
      <c r="C29" s="9">
        <v>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Z7"/>
  <sheetViews>
    <sheetView workbookViewId="0"/>
  </sheetViews>
  <sheetFormatPr baseColWidth="10" defaultColWidth="12.6640625" defaultRowHeight="15.75" customHeight="1" x14ac:dyDescent="0.15"/>
  <cols>
    <col min="2" max="2" width="5.1640625" customWidth="1"/>
    <col min="3" max="3" width="11.1640625" customWidth="1"/>
  </cols>
  <sheetData>
    <row r="3" spans="1:26" ht="15.75" customHeight="1" x14ac:dyDescent="0.15">
      <c r="A3" s="1" t="s">
        <v>0</v>
      </c>
      <c r="B3" s="1" t="s">
        <v>1</v>
      </c>
      <c r="C3" s="1" t="s">
        <v>29</v>
      </c>
      <c r="D3" s="1" t="s">
        <v>3</v>
      </c>
    </row>
    <row r="4" spans="1:26" ht="15.75" customHeight="1" x14ac:dyDescent="0.15">
      <c r="A4" s="2" t="s">
        <v>5</v>
      </c>
      <c r="B4" s="2">
        <v>110</v>
      </c>
      <c r="C4" s="2">
        <v>400</v>
      </c>
      <c r="D4" s="3">
        <f t="shared" ref="D4:D6" si="0">B4*C4</f>
        <v>44000</v>
      </c>
    </row>
    <row r="5" spans="1:26" ht="15.75" customHeight="1" x14ac:dyDescent="0.15">
      <c r="A5" s="2" t="s">
        <v>6</v>
      </c>
      <c r="B5" s="2">
        <v>110</v>
      </c>
      <c r="C5" s="2">
        <v>500</v>
      </c>
      <c r="D5" s="3">
        <f t="shared" si="0"/>
        <v>55000</v>
      </c>
    </row>
    <row r="6" spans="1:26" ht="15.75" customHeight="1" x14ac:dyDescent="0.15">
      <c r="A6" s="2" t="s">
        <v>11</v>
      </c>
      <c r="B6" s="2">
        <v>110</v>
      </c>
      <c r="C6" s="2">
        <v>250</v>
      </c>
      <c r="D6" s="3">
        <f t="shared" si="0"/>
        <v>27500</v>
      </c>
    </row>
    <row r="7" spans="1:26" ht="15.75" customHeight="1" x14ac:dyDescent="0.15">
      <c r="A7" s="10" t="s">
        <v>17</v>
      </c>
      <c r="B7" s="10"/>
      <c r="C7" s="10"/>
      <c r="D7" s="11">
        <f>SUM(D4:D6)</f>
        <v>126500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F37"/>
  <sheetViews>
    <sheetView workbookViewId="0"/>
  </sheetViews>
  <sheetFormatPr baseColWidth="10" defaultColWidth="12.6640625" defaultRowHeight="15.75" customHeight="1" x14ac:dyDescent="0.15"/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15</v>
      </c>
      <c r="C3" s="2">
        <v>400</v>
      </c>
      <c r="D3" s="3">
        <f t="shared" ref="D3:D10" si="0">B3*C3</f>
        <v>6000</v>
      </c>
      <c r="E3" s="2">
        <v>450</v>
      </c>
      <c r="F3" s="3">
        <f t="shared" ref="F3:F10" si="1">B3*E3</f>
        <v>6750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15</v>
      </c>
      <c r="C5" s="2">
        <v>450</v>
      </c>
      <c r="D5" s="3">
        <f t="shared" si="0"/>
        <v>6750</v>
      </c>
      <c r="E5" s="2">
        <v>500</v>
      </c>
      <c r="F5" s="3">
        <f t="shared" si="1"/>
        <v>7500</v>
      </c>
    </row>
    <row r="6" spans="1:6" ht="15.75" customHeight="1" x14ac:dyDescent="0.15">
      <c r="A6" s="2" t="s">
        <v>8</v>
      </c>
      <c r="B6" s="2">
        <v>5</v>
      </c>
      <c r="C6" s="2">
        <v>1200</v>
      </c>
      <c r="D6" s="3">
        <f t="shared" si="0"/>
        <v>6000</v>
      </c>
      <c r="E6" s="2">
        <v>1400</v>
      </c>
      <c r="F6" s="3">
        <f t="shared" si="1"/>
        <v>7000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30</v>
      </c>
      <c r="B9" s="2">
        <v>11</v>
      </c>
      <c r="C9" s="2">
        <v>179.2</v>
      </c>
      <c r="D9" s="3">
        <f t="shared" si="0"/>
        <v>1971.1999999999998</v>
      </c>
      <c r="E9" s="2">
        <v>200</v>
      </c>
      <c r="F9" s="3">
        <f t="shared" si="1"/>
        <v>2200</v>
      </c>
    </row>
    <row r="10" spans="1:6" ht="15.75" customHeight="1" x14ac:dyDescent="0.15">
      <c r="A10" s="2" t="s">
        <v>11</v>
      </c>
      <c r="B10" s="2">
        <f>12*3</f>
        <v>36</v>
      </c>
      <c r="C10" s="2">
        <v>250</v>
      </c>
      <c r="D10" s="3">
        <f t="shared" si="0"/>
        <v>9000</v>
      </c>
      <c r="E10" s="2">
        <v>500</v>
      </c>
      <c r="F10" s="3">
        <f t="shared" si="1"/>
        <v>18000</v>
      </c>
    </row>
    <row r="11" spans="1:6" ht="15.75" customHeight="1" x14ac:dyDescent="0.15">
      <c r="D11" s="4">
        <f>SUM(D3:D10)</f>
        <v>72221.2</v>
      </c>
      <c r="F11" s="4">
        <f>SUM(F3:F10)</f>
        <v>94950</v>
      </c>
    </row>
    <row r="12" spans="1:6" ht="15.75" customHeight="1" x14ac:dyDescent="0.15">
      <c r="E12" s="5" t="s">
        <v>12</v>
      </c>
      <c r="F12" s="6">
        <f>F11-D11</f>
        <v>22728.800000000003</v>
      </c>
    </row>
    <row r="13" spans="1:6" ht="15.75" customHeight="1" x14ac:dyDescent="0.15">
      <c r="E13" s="7"/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f>59950+1200+2000</f>
        <v>63150</v>
      </c>
    </row>
    <row r="16" spans="1:6" ht="15.75" customHeight="1" x14ac:dyDescent="0.15">
      <c r="A16" s="7" t="s">
        <v>19</v>
      </c>
      <c r="E16" s="2" t="s">
        <v>31</v>
      </c>
      <c r="F16" s="3">
        <v>4000</v>
      </c>
    </row>
    <row r="17" spans="1:6" ht="15.75" customHeight="1" x14ac:dyDescent="0.15">
      <c r="A17" s="2" t="s">
        <v>32</v>
      </c>
      <c r="B17" s="2"/>
      <c r="C17" s="3">
        <v>2400</v>
      </c>
      <c r="E17" s="2" t="s">
        <v>33</v>
      </c>
      <c r="F17" s="3">
        <f>7200</f>
        <v>7200</v>
      </c>
    </row>
    <row r="18" spans="1:6" ht="15.75" customHeight="1" x14ac:dyDescent="0.15">
      <c r="A18" s="2" t="s">
        <v>34</v>
      </c>
      <c r="B18" s="2"/>
      <c r="C18" s="3">
        <v>4900</v>
      </c>
      <c r="E18" s="2" t="str">
        <f>A16</f>
        <v>Not Paid</v>
      </c>
      <c r="F18" s="3">
        <f>C22</f>
        <v>10200</v>
      </c>
    </row>
    <row r="19" spans="1:6" ht="15.75" customHeight="1" x14ac:dyDescent="0.15">
      <c r="A19" s="2" t="s">
        <v>23</v>
      </c>
      <c r="B19" s="2"/>
      <c r="C19" s="3">
        <f>1000</f>
        <v>1000</v>
      </c>
      <c r="E19" s="2" t="s">
        <v>17</v>
      </c>
      <c r="F19" s="3">
        <f>SUM(F15:F18)</f>
        <v>84550</v>
      </c>
    </row>
    <row r="20" spans="1:6" ht="15.75" customHeight="1" x14ac:dyDescent="0.15">
      <c r="A20" s="2" t="s">
        <v>35</v>
      </c>
      <c r="B20" s="2"/>
      <c r="C20" s="3">
        <v>1200</v>
      </c>
      <c r="E20" s="2" t="s">
        <v>30</v>
      </c>
      <c r="F20" s="3"/>
    </row>
    <row r="21" spans="1:6" ht="15.75" customHeight="1" x14ac:dyDescent="0.15">
      <c r="A21" s="2" t="s">
        <v>27</v>
      </c>
      <c r="B21" s="2"/>
      <c r="C21" s="3">
        <v>700</v>
      </c>
      <c r="F21" s="4">
        <f>F11-F19-F20</f>
        <v>10400</v>
      </c>
    </row>
    <row r="22" spans="1:6" ht="15.75" customHeight="1" x14ac:dyDescent="0.15">
      <c r="A22" s="2"/>
      <c r="B22" s="2"/>
      <c r="C22" s="3">
        <f>SUM(C17:C21)</f>
        <v>10200</v>
      </c>
    </row>
    <row r="23" spans="1:6" ht="15.75" customHeight="1" x14ac:dyDescent="0.15">
      <c r="E23" s="8" t="s">
        <v>36</v>
      </c>
      <c r="F23" s="8">
        <v>13</v>
      </c>
    </row>
    <row r="36" spans="4:4" ht="15.75" customHeight="1" x14ac:dyDescent="0.15">
      <c r="D36" s="4">
        <f>D37+D9</f>
        <v>4300.7999999999993</v>
      </c>
    </row>
    <row r="37" spans="4:4" ht="15.75" customHeight="1" x14ac:dyDescent="0.15">
      <c r="D37" s="8">
        <v>2329.6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25"/>
  <sheetViews>
    <sheetView workbookViewId="0"/>
  </sheetViews>
  <sheetFormatPr baseColWidth="10" defaultColWidth="12.6640625" defaultRowHeight="15.75" customHeight="1" x14ac:dyDescent="0.15"/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f>15+2+1</f>
        <v>18</v>
      </c>
      <c r="C3" s="2">
        <v>400</v>
      </c>
      <c r="D3" s="3">
        <f t="shared" ref="D3:D10" si="0">B3*C3</f>
        <v>7200</v>
      </c>
      <c r="E3" s="2">
        <v>450</v>
      </c>
      <c r="F3" s="3">
        <f t="shared" ref="F3:F10" si="1">B3*E3</f>
        <v>8100</v>
      </c>
    </row>
    <row r="4" spans="1:6" ht="15.75" customHeight="1" x14ac:dyDescent="0.15">
      <c r="A4" s="2" t="s">
        <v>6</v>
      </c>
      <c r="B4" s="2">
        <v>0</v>
      </c>
      <c r="C4" s="2">
        <v>500</v>
      </c>
      <c r="D4" s="3">
        <f t="shared" si="0"/>
        <v>0</v>
      </c>
      <c r="E4" s="2">
        <v>700</v>
      </c>
      <c r="F4" s="3">
        <f t="shared" si="1"/>
        <v>0</v>
      </c>
    </row>
    <row r="5" spans="1:6" ht="15.75" customHeight="1" x14ac:dyDescent="0.15">
      <c r="A5" s="2" t="s">
        <v>7</v>
      </c>
      <c r="B5" s="2">
        <v>15</v>
      </c>
      <c r="C5" s="2">
        <v>450</v>
      </c>
      <c r="D5" s="3">
        <f t="shared" si="0"/>
        <v>6750</v>
      </c>
      <c r="E5" s="2">
        <v>500</v>
      </c>
      <c r="F5" s="3">
        <f t="shared" si="1"/>
        <v>7500</v>
      </c>
    </row>
    <row r="6" spans="1:6" ht="15.75" customHeight="1" x14ac:dyDescent="0.15">
      <c r="A6" s="2" t="s">
        <v>8</v>
      </c>
      <c r="B6" s="2">
        <f>5+5</f>
        <v>10</v>
      </c>
      <c r="C6" s="2">
        <v>1200</v>
      </c>
      <c r="D6" s="3">
        <f t="shared" si="0"/>
        <v>12000</v>
      </c>
      <c r="E6" s="2">
        <v>1400</v>
      </c>
      <c r="F6" s="3">
        <f t="shared" si="1"/>
        <v>14000</v>
      </c>
    </row>
    <row r="7" spans="1:6" ht="15.75" customHeight="1" x14ac:dyDescent="0.15">
      <c r="A7" s="2" t="s">
        <v>9</v>
      </c>
      <c r="B7" s="2">
        <f>20+10</f>
        <v>30</v>
      </c>
      <c r="C7" s="2">
        <v>800</v>
      </c>
      <c r="D7" s="3">
        <f t="shared" si="0"/>
        <v>24000</v>
      </c>
      <c r="E7" s="2">
        <v>1000</v>
      </c>
      <c r="F7" s="3">
        <f t="shared" si="1"/>
        <v>30000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30</v>
      </c>
      <c r="B9" s="2">
        <v>13</v>
      </c>
      <c r="C9" s="2">
        <v>179.2</v>
      </c>
      <c r="D9" s="3">
        <f t="shared" si="0"/>
        <v>2329.6</v>
      </c>
      <c r="E9" s="2">
        <v>200</v>
      </c>
      <c r="F9" s="3">
        <f t="shared" si="1"/>
        <v>2600</v>
      </c>
    </row>
    <row r="10" spans="1:6" ht="15.75" customHeight="1" x14ac:dyDescent="0.15">
      <c r="A10" s="2" t="s">
        <v>11</v>
      </c>
      <c r="B10" s="2">
        <v>36</v>
      </c>
      <c r="C10" s="2">
        <v>300</v>
      </c>
      <c r="D10" s="3">
        <f t="shared" si="0"/>
        <v>10800</v>
      </c>
      <c r="E10" s="2">
        <v>500</v>
      </c>
      <c r="F10" s="3">
        <f t="shared" si="1"/>
        <v>18000</v>
      </c>
    </row>
    <row r="11" spans="1:6" ht="15.75" customHeight="1" x14ac:dyDescent="0.15">
      <c r="D11" s="4">
        <f>SUM(D3:D10)</f>
        <v>77079.600000000006</v>
      </c>
      <c r="F11" s="4">
        <f>SUM(F3:F10)</f>
        <v>96200</v>
      </c>
    </row>
    <row r="12" spans="1:6" ht="15.75" customHeight="1" x14ac:dyDescent="0.15">
      <c r="E12" s="5" t="s">
        <v>12</v>
      </c>
      <c r="F12" s="6">
        <f>F11-D11</f>
        <v>19120.399999999994</v>
      </c>
    </row>
    <row r="13" spans="1:6" ht="15.75" customHeight="1" x14ac:dyDescent="0.15">
      <c r="E13" s="7"/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f>66650</f>
        <v>66650</v>
      </c>
    </row>
    <row r="16" spans="1:6" ht="15.75" customHeight="1" x14ac:dyDescent="0.15">
      <c r="A16" s="7" t="s">
        <v>19</v>
      </c>
      <c r="E16" s="2" t="s">
        <v>16</v>
      </c>
      <c r="F16" s="3">
        <v>8200</v>
      </c>
    </row>
    <row r="17" spans="1:6" ht="15.75" customHeight="1" x14ac:dyDescent="0.15">
      <c r="A17" s="2" t="s">
        <v>37</v>
      </c>
      <c r="B17" s="2"/>
      <c r="C17" s="3">
        <f>1800+500</f>
        <v>2300</v>
      </c>
      <c r="E17" s="2"/>
      <c r="F17" s="3"/>
    </row>
    <row r="18" spans="1:6" ht="15.75" customHeight="1" x14ac:dyDescent="0.15">
      <c r="A18" s="2" t="s">
        <v>28</v>
      </c>
      <c r="B18" s="2"/>
      <c r="C18" s="3">
        <v>2450</v>
      </c>
      <c r="E18" s="2" t="str">
        <f>A16</f>
        <v>Not Paid</v>
      </c>
      <c r="F18" s="3">
        <f>C25</f>
        <v>22350</v>
      </c>
    </row>
    <row r="19" spans="1:6" ht="15.75" customHeight="1" x14ac:dyDescent="0.15">
      <c r="A19" s="2" t="s">
        <v>38</v>
      </c>
      <c r="B19" s="2"/>
      <c r="C19" s="3">
        <f>900</f>
        <v>900</v>
      </c>
      <c r="E19" s="2" t="s">
        <v>17</v>
      </c>
      <c r="F19" s="3">
        <f>SUM(F15:F18)</f>
        <v>97200</v>
      </c>
    </row>
    <row r="20" spans="1:6" ht="15.75" customHeight="1" x14ac:dyDescent="0.15">
      <c r="A20" s="2" t="s">
        <v>27</v>
      </c>
      <c r="B20" s="2"/>
      <c r="C20" s="3">
        <v>1000</v>
      </c>
      <c r="E20" s="2"/>
      <c r="F20" s="3"/>
    </row>
    <row r="21" spans="1:6" ht="15.75" customHeight="1" x14ac:dyDescent="0.15">
      <c r="A21" s="2" t="s">
        <v>39</v>
      </c>
      <c r="B21" s="2"/>
      <c r="C21" s="3">
        <f>(8*500)+(6*450)+1400</f>
        <v>8100</v>
      </c>
      <c r="F21" s="4">
        <f>F11-F19-F20</f>
        <v>-1000</v>
      </c>
    </row>
    <row r="22" spans="1:6" ht="15.75" customHeight="1" x14ac:dyDescent="0.15">
      <c r="A22" s="2" t="s">
        <v>34</v>
      </c>
      <c r="B22" s="2"/>
      <c r="C22" s="3">
        <f>(500*2)+1000+(3*500)</f>
        <v>3500</v>
      </c>
    </row>
    <row r="23" spans="1:6" ht="15.75" customHeight="1" x14ac:dyDescent="0.15">
      <c r="A23" s="2" t="s">
        <v>40</v>
      </c>
      <c r="B23" s="2"/>
      <c r="C23" s="3">
        <f>500+400</f>
        <v>900</v>
      </c>
    </row>
    <row r="24" spans="1:6" ht="15.75" customHeight="1" x14ac:dyDescent="0.15">
      <c r="A24" s="2" t="s">
        <v>41</v>
      </c>
      <c r="B24" s="2"/>
      <c r="C24" s="3">
        <v>3200</v>
      </c>
    </row>
    <row r="25" spans="1:6" ht="15.75" customHeight="1" x14ac:dyDescent="0.15">
      <c r="A25" s="2"/>
      <c r="B25" s="2"/>
      <c r="C25" s="3">
        <f>SUM(C17:C24)</f>
        <v>22350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G40"/>
  <sheetViews>
    <sheetView workbookViewId="0"/>
  </sheetViews>
  <sheetFormatPr baseColWidth="10" defaultColWidth="12.6640625" defaultRowHeight="15.75" customHeight="1" x14ac:dyDescent="0.15"/>
  <cols>
    <col min="1" max="1" width="14.1640625" customWidth="1"/>
    <col min="6" max="6" width="14.5" customWidth="1"/>
  </cols>
  <sheetData>
    <row r="2" spans="1:6" ht="15.75" customHeight="1" x14ac:dyDescent="0.15">
      <c r="A2" s="12" t="s">
        <v>42</v>
      </c>
    </row>
    <row r="3" spans="1:6" ht="15.75" customHeight="1" x14ac:dyDescent="0.15">
      <c r="A3" s="2" t="s">
        <v>43</v>
      </c>
      <c r="B3" s="2" t="s">
        <v>44</v>
      </c>
    </row>
    <row r="4" spans="1:6" ht="15.75" customHeight="1" x14ac:dyDescent="0.15">
      <c r="A4" s="2" t="s">
        <v>45</v>
      </c>
      <c r="B4" s="13">
        <v>45695</v>
      </c>
    </row>
    <row r="5" spans="1:6" ht="15.75" customHeight="1" x14ac:dyDescent="0.15">
      <c r="A5" s="2" t="s">
        <v>46</v>
      </c>
      <c r="B5" s="13">
        <v>45700</v>
      </c>
    </row>
    <row r="8" spans="1:6" ht="15.75" customHeight="1" x14ac:dyDescent="0.15">
      <c r="A8" s="14" t="s">
        <v>47</v>
      </c>
    </row>
    <row r="9" spans="1:6" ht="16" x14ac:dyDescent="0.2">
      <c r="A9" s="15" t="s">
        <v>48</v>
      </c>
      <c r="B9" s="16" t="s">
        <v>49</v>
      </c>
      <c r="C9" s="17" t="s">
        <v>50</v>
      </c>
      <c r="D9" s="16" t="s">
        <v>51</v>
      </c>
      <c r="E9" s="16" t="s">
        <v>52</v>
      </c>
      <c r="F9" s="16" t="s">
        <v>53</v>
      </c>
    </row>
    <row r="10" spans="1:6" ht="16" x14ac:dyDescent="0.2">
      <c r="A10" s="18" t="s">
        <v>54</v>
      </c>
      <c r="B10" s="19" t="s">
        <v>55</v>
      </c>
      <c r="C10" s="20">
        <v>45693</v>
      </c>
      <c r="D10" s="19" t="s">
        <v>56</v>
      </c>
      <c r="E10" s="19" t="s">
        <v>57</v>
      </c>
      <c r="F10" s="21" t="s">
        <v>58</v>
      </c>
    </row>
    <row r="11" spans="1:6" ht="16" x14ac:dyDescent="0.2">
      <c r="A11" s="18" t="s">
        <v>59</v>
      </c>
      <c r="B11" s="19" t="s">
        <v>60</v>
      </c>
      <c r="C11" s="20">
        <v>45329</v>
      </c>
      <c r="D11" s="19" t="s">
        <v>61</v>
      </c>
      <c r="E11" s="19" t="s">
        <v>62</v>
      </c>
      <c r="F11" s="21" t="s">
        <v>63</v>
      </c>
    </row>
    <row r="12" spans="1:6" ht="16" x14ac:dyDescent="0.2">
      <c r="A12" s="22" t="s">
        <v>64</v>
      </c>
      <c r="B12" s="23" t="s">
        <v>65</v>
      </c>
      <c r="C12" s="24">
        <v>45334</v>
      </c>
      <c r="D12" s="23" t="s">
        <v>66</v>
      </c>
      <c r="E12" s="23" t="s">
        <v>67</v>
      </c>
      <c r="F12" s="25" t="s">
        <v>63</v>
      </c>
    </row>
    <row r="13" spans="1:6" ht="16" x14ac:dyDescent="0.2">
      <c r="A13" s="22" t="s">
        <v>68</v>
      </c>
      <c r="B13" s="23" t="s">
        <v>69</v>
      </c>
      <c r="C13" s="24">
        <v>45342</v>
      </c>
      <c r="D13" s="23" t="s">
        <v>61</v>
      </c>
      <c r="E13" s="23" t="s">
        <v>70</v>
      </c>
      <c r="F13" s="25" t="s">
        <v>63</v>
      </c>
    </row>
    <row r="14" spans="1:6" ht="16" x14ac:dyDescent="0.2">
      <c r="A14" s="22" t="s">
        <v>71</v>
      </c>
      <c r="B14" s="23" t="s">
        <v>72</v>
      </c>
      <c r="C14" s="24">
        <v>45343</v>
      </c>
      <c r="D14" s="23" t="s">
        <v>61</v>
      </c>
      <c r="E14" s="23" t="s">
        <v>73</v>
      </c>
      <c r="F14" s="25" t="s">
        <v>63</v>
      </c>
    </row>
    <row r="15" spans="1:6" ht="16" x14ac:dyDescent="0.2">
      <c r="A15" s="22" t="s">
        <v>74</v>
      </c>
      <c r="B15" s="23" t="s">
        <v>75</v>
      </c>
      <c r="C15" s="24">
        <v>45332</v>
      </c>
      <c r="D15" s="23" t="s">
        <v>66</v>
      </c>
      <c r="E15" s="23" t="s">
        <v>70</v>
      </c>
      <c r="F15" s="26" t="s">
        <v>58</v>
      </c>
    </row>
    <row r="16" spans="1:6" ht="16" x14ac:dyDescent="0.2">
      <c r="A16" s="22" t="s">
        <v>76</v>
      </c>
      <c r="B16" s="23" t="s">
        <v>77</v>
      </c>
      <c r="C16" s="24">
        <v>45332</v>
      </c>
      <c r="D16" s="23" t="s">
        <v>66</v>
      </c>
      <c r="E16" s="23" t="s">
        <v>78</v>
      </c>
      <c r="F16" s="26" t="s">
        <v>58</v>
      </c>
    </row>
    <row r="17" spans="1:7" ht="16" x14ac:dyDescent="0.2">
      <c r="A17" s="22" t="s">
        <v>79</v>
      </c>
      <c r="B17" s="23" t="s">
        <v>80</v>
      </c>
      <c r="C17" s="24">
        <v>45338</v>
      </c>
      <c r="D17" s="23" t="s">
        <v>66</v>
      </c>
      <c r="E17" s="23" t="s">
        <v>81</v>
      </c>
      <c r="F17" s="26" t="s">
        <v>58</v>
      </c>
    </row>
    <row r="18" spans="1:7" ht="16" x14ac:dyDescent="0.2">
      <c r="A18" s="22" t="s">
        <v>82</v>
      </c>
      <c r="B18" s="23" t="s">
        <v>83</v>
      </c>
      <c r="C18" s="24">
        <v>45341</v>
      </c>
      <c r="D18" s="23" t="s">
        <v>61</v>
      </c>
      <c r="E18" s="23" t="s">
        <v>78</v>
      </c>
      <c r="F18" s="26" t="s">
        <v>58</v>
      </c>
    </row>
    <row r="19" spans="1:7" ht="16" x14ac:dyDescent="0.2">
      <c r="A19" s="22" t="s">
        <v>84</v>
      </c>
      <c r="B19" s="23" t="s">
        <v>85</v>
      </c>
      <c r="C19" s="24">
        <v>45333</v>
      </c>
      <c r="D19" s="23" t="s">
        <v>61</v>
      </c>
      <c r="E19" s="23" t="s">
        <v>86</v>
      </c>
      <c r="F19" s="27" t="s">
        <v>87</v>
      </c>
    </row>
    <row r="21" spans="1:7" ht="16" x14ac:dyDescent="0.2">
      <c r="A21" s="28" t="s">
        <v>88</v>
      </c>
      <c r="B21" s="29" t="s">
        <v>89</v>
      </c>
      <c r="C21" s="30">
        <v>8169588987</v>
      </c>
      <c r="D21" s="31">
        <v>45323</v>
      </c>
      <c r="E21" s="29" t="s">
        <v>61</v>
      </c>
      <c r="F21" s="32" t="s">
        <v>90</v>
      </c>
    </row>
    <row r="22" spans="1:7" ht="16" x14ac:dyDescent="0.2">
      <c r="A22" s="33" t="s">
        <v>91</v>
      </c>
      <c r="B22" s="34" t="s">
        <v>92</v>
      </c>
      <c r="C22" s="35">
        <v>8030791599</v>
      </c>
      <c r="D22" s="36">
        <v>45332</v>
      </c>
      <c r="E22" s="34" t="s">
        <v>61</v>
      </c>
      <c r="F22" s="37" t="s">
        <v>90</v>
      </c>
    </row>
    <row r="23" spans="1:7" ht="16" x14ac:dyDescent="0.2">
      <c r="A23" s="33" t="s">
        <v>93</v>
      </c>
      <c r="B23" s="34" t="s">
        <v>94</v>
      </c>
      <c r="C23" s="38">
        <v>9060934773</v>
      </c>
      <c r="D23" s="36">
        <v>45337</v>
      </c>
      <c r="E23" s="34" t="s">
        <v>61</v>
      </c>
      <c r="F23" s="37" t="s">
        <v>90</v>
      </c>
    </row>
    <row r="24" spans="1:7" ht="16" x14ac:dyDescent="0.2">
      <c r="A24" s="33" t="s">
        <v>95</v>
      </c>
      <c r="B24" s="34" t="s">
        <v>96</v>
      </c>
      <c r="C24" s="35">
        <v>8174548893</v>
      </c>
      <c r="D24" s="36">
        <v>45337</v>
      </c>
      <c r="E24" s="34" t="s">
        <v>66</v>
      </c>
      <c r="F24" s="37" t="s">
        <v>90</v>
      </c>
      <c r="G24" s="8" t="s">
        <v>97</v>
      </c>
    </row>
    <row r="25" spans="1:7" ht="16" x14ac:dyDescent="0.2">
      <c r="A25" s="33" t="s">
        <v>98</v>
      </c>
      <c r="B25" s="34" t="s">
        <v>60</v>
      </c>
      <c r="C25" s="35">
        <v>9045385970</v>
      </c>
      <c r="D25" s="36">
        <v>45337</v>
      </c>
      <c r="E25" s="34" t="s">
        <v>66</v>
      </c>
      <c r="F25" s="37" t="s">
        <v>90</v>
      </c>
      <c r="G25" s="8" t="s">
        <v>99</v>
      </c>
    </row>
    <row r="26" spans="1:7" ht="16" x14ac:dyDescent="0.2">
      <c r="A26" s="33" t="s">
        <v>100</v>
      </c>
      <c r="B26" s="34" t="s">
        <v>101</v>
      </c>
      <c r="C26" s="38">
        <v>9018574183</v>
      </c>
      <c r="D26" s="36">
        <v>45339</v>
      </c>
      <c r="E26" s="34" t="s">
        <v>61</v>
      </c>
      <c r="F26" s="37" t="s">
        <v>90</v>
      </c>
    </row>
    <row r="27" spans="1:7" ht="16" x14ac:dyDescent="0.2">
      <c r="A27" s="33" t="s">
        <v>84</v>
      </c>
      <c r="B27" s="34" t="s">
        <v>102</v>
      </c>
      <c r="C27" s="38">
        <v>8132586075</v>
      </c>
      <c r="D27" s="36">
        <v>45340</v>
      </c>
      <c r="E27" s="34" t="s">
        <v>61</v>
      </c>
      <c r="F27" s="39" t="s">
        <v>58</v>
      </c>
    </row>
    <row r="28" spans="1:7" ht="16" x14ac:dyDescent="0.2">
      <c r="A28" s="40" t="s">
        <v>103</v>
      </c>
      <c r="B28" s="41" t="s">
        <v>104</v>
      </c>
      <c r="C28" s="42">
        <v>8156002345</v>
      </c>
      <c r="D28" s="43">
        <v>45350</v>
      </c>
      <c r="E28" s="41" t="s">
        <v>66</v>
      </c>
      <c r="F28" s="44" t="s">
        <v>90</v>
      </c>
    </row>
    <row r="31" spans="1:7" ht="15.75" customHeight="1" x14ac:dyDescent="0.15">
      <c r="A31" s="45" t="s">
        <v>105</v>
      </c>
    </row>
    <row r="32" spans="1:7" ht="15.75" customHeight="1" x14ac:dyDescent="0.15">
      <c r="A32" s="8" t="s">
        <v>84</v>
      </c>
      <c r="B32" s="8" t="s">
        <v>106</v>
      </c>
      <c r="C32" s="8" t="s">
        <v>107</v>
      </c>
    </row>
    <row r="33" spans="1:3" ht="15.75" customHeight="1" x14ac:dyDescent="0.15">
      <c r="A33" s="8" t="s">
        <v>108</v>
      </c>
      <c r="B33" s="8" t="s">
        <v>109</v>
      </c>
      <c r="C33" s="8" t="s">
        <v>110</v>
      </c>
    </row>
    <row r="40" spans="1:3" ht="16" x14ac:dyDescent="0.2">
      <c r="C40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F37"/>
  <sheetViews>
    <sheetView workbookViewId="0"/>
  </sheetViews>
  <sheetFormatPr baseColWidth="10" defaultColWidth="12.6640625" defaultRowHeight="15.75" customHeight="1" x14ac:dyDescent="0.15"/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f>15</f>
        <v>15</v>
      </c>
      <c r="C3" s="2">
        <v>400</v>
      </c>
      <c r="D3" s="3">
        <f t="shared" ref="D3:D10" si="0">B3*C3</f>
        <v>6000</v>
      </c>
      <c r="E3" s="2">
        <v>450</v>
      </c>
      <c r="F3" s="3">
        <f t="shared" ref="F3:F10" si="1">B3*E3</f>
        <v>6750</v>
      </c>
    </row>
    <row r="4" spans="1:6" ht="15.75" customHeight="1" x14ac:dyDescent="0.15">
      <c r="A4" s="2" t="s">
        <v>6</v>
      </c>
      <c r="B4" s="2">
        <v>30</v>
      </c>
      <c r="C4" s="2">
        <v>500</v>
      </c>
      <c r="D4" s="3">
        <f t="shared" si="0"/>
        <v>15000</v>
      </c>
      <c r="E4" s="2">
        <v>700</v>
      </c>
      <c r="F4" s="3">
        <f t="shared" si="1"/>
        <v>21000</v>
      </c>
    </row>
    <row r="5" spans="1:6" ht="15.75" customHeight="1" x14ac:dyDescent="0.15">
      <c r="A5" s="2" t="s">
        <v>7</v>
      </c>
      <c r="B5" s="2">
        <v>15</v>
      </c>
      <c r="C5" s="2">
        <v>450</v>
      </c>
      <c r="D5" s="3">
        <f t="shared" si="0"/>
        <v>6750</v>
      </c>
      <c r="E5" s="2">
        <v>500</v>
      </c>
      <c r="F5" s="3">
        <f t="shared" si="1"/>
        <v>7500</v>
      </c>
    </row>
    <row r="6" spans="1:6" ht="15.75" customHeight="1" x14ac:dyDescent="0.15">
      <c r="A6" s="2" t="s">
        <v>8</v>
      </c>
      <c r="B6" s="2">
        <f>5</f>
        <v>5</v>
      </c>
      <c r="C6" s="2">
        <v>1200</v>
      </c>
      <c r="D6" s="3">
        <f t="shared" si="0"/>
        <v>6000</v>
      </c>
      <c r="E6" s="2">
        <v>1400</v>
      </c>
      <c r="F6" s="3">
        <f t="shared" si="1"/>
        <v>7000</v>
      </c>
    </row>
    <row r="7" spans="1:6" ht="15.75" customHeight="1" x14ac:dyDescent="0.15">
      <c r="A7" s="2" t="s">
        <v>9</v>
      </c>
      <c r="B7" s="2">
        <f>20</f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30</v>
      </c>
      <c r="B9" s="2">
        <v>14</v>
      </c>
      <c r="C9" s="2">
        <v>179.2</v>
      </c>
      <c r="D9" s="3">
        <f t="shared" si="0"/>
        <v>2508.7999999999997</v>
      </c>
      <c r="E9" s="2">
        <v>200</v>
      </c>
      <c r="F9" s="3">
        <f t="shared" si="1"/>
        <v>2800</v>
      </c>
    </row>
    <row r="10" spans="1:6" ht="15.75" customHeight="1" x14ac:dyDescent="0.15">
      <c r="A10" s="2" t="s">
        <v>11</v>
      </c>
      <c r="B10" s="2">
        <v>36</v>
      </c>
      <c r="C10" s="2">
        <v>300</v>
      </c>
      <c r="D10" s="3">
        <f t="shared" si="0"/>
        <v>10800</v>
      </c>
      <c r="E10" s="2">
        <v>500</v>
      </c>
      <c r="F10" s="3">
        <f t="shared" si="1"/>
        <v>18000</v>
      </c>
    </row>
    <row r="11" spans="1:6" ht="15.75" customHeight="1" x14ac:dyDescent="0.15">
      <c r="D11" s="4">
        <f>SUM(D3:D10)</f>
        <v>77058.8</v>
      </c>
      <c r="F11" s="4">
        <f>SUM(F3:F10)</f>
        <v>99050</v>
      </c>
    </row>
    <row r="12" spans="1:6" ht="15.75" customHeight="1" x14ac:dyDescent="0.15">
      <c r="E12" s="5" t="s">
        <v>12</v>
      </c>
      <c r="F12" s="6">
        <f>F11-D11</f>
        <v>21991.199999999997</v>
      </c>
    </row>
    <row r="13" spans="1:6" ht="15.75" customHeight="1" x14ac:dyDescent="0.15">
      <c r="E13" s="7"/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f>77500</f>
        <v>77500</v>
      </c>
    </row>
    <row r="16" spans="1:6" ht="15.75" customHeight="1" x14ac:dyDescent="0.15">
      <c r="A16" s="7" t="s">
        <v>19</v>
      </c>
      <c r="E16" s="2" t="s">
        <v>16</v>
      </c>
      <c r="F16" s="3">
        <f>2600-200</f>
        <v>2400</v>
      </c>
    </row>
    <row r="17" spans="1:6" ht="15.75" customHeight="1" x14ac:dyDescent="0.15">
      <c r="A17" s="2" t="s">
        <v>37</v>
      </c>
      <c r="B17" s="2"/>
      <c r="C17" s="3">
        <f>1700</f>
        <v>1700</v>
      </c>
      <c r="E17" s="2"/>
      <c r="F17" s="3"/>
    </row>
    <row r="18" spans="1:6" ht="15.75" customHeight="1" x14ac:dyDescent="0.15">
      <c r="A18" s="2" t="s">
        <v>41</v>
      </c>
      <c r="B18" s="2"/>
      <c r="C18" s="3">
        <f>(450*3)+500</f>
        <v>1850</v>
      </c>
      <c r="E18" s="2" t="str">
        <f>A16</f>
        <v>Not Paid</v>
      </c>
      <c r="F18" s="3">
        <f>C26</f>
        <v>18700</v>
      </c>
    </row>
    <row r="19" spans="1:6" ht="15.75" customHeight="1" x14ac:dyDescent="0.15">
      <c r="A19" s="2" t="s">
        <v>55</v>
      </c>
      <c r="B19" s="2"/>
      <c r="C19" s="3">
        <v>4800</v>
      </c>
      <c r="E19" s="2" t="s">
        <v>17</v>
      </c>
      <c r="F19" s="3">
        <f>SUM(F15:F18)</f>
        <v>98600</v>
      </c>
    </row>
    <row r="20" spans="1:6" ht="15.75" customHeight="1" x14ac:dyDescent="0.15">
      <c r="A20" s="2" t="s">
        <v>111</v>
      </c>
      <c r="B20" s="2"/>
      <c r="C20" s="3">
        <f>(450*5)+1000</f>
        <v>3250</v>
      </c>
      <c r="E20" s="2"/>
      <c r="F20" s="3"/>
    </row>
    <row r="21" spans="1:6" ht="15.75" customHeight="1" x14ac:dyDescent="0.15">
      <c r="A21" s="2" t="s">
        <v>40</v>
      </c>
      <c r="B21" s="2"/>
      <c r="C21" s="3">
        <v>1000</v>
      </c>
      <c r="F21" s="4">
        <f>F11-F19-F20</f>
        <v>450</v>
      </c>
    </row>
    <row r="22" spans="1:6" ht="15.75" customHeight="1" x14ac:dyDescent="0.15">
      <c r="A22" s="2" t="s">
        <v>112</v>
      </c>
      <c r="B22" s="2"/>
      <c r="C22" s="3">
        <v>500</v>
      </c>
    </row>
    <row r="23" spans="1:6" ht="15.75" customHeight="1" x14ac:dyDescent="0.15">
      <c r="A23" s="2" t="s">
        <v>113</v>
      </c>
      <c r="B23" s="2"/>
      <c r="C23" s="3">
        <v>3500</v>
      </c>
    </row>
    <row r="24" spans="1:6" ht="15.75" customHeight="1" x14ac:dyDescent="0.15">
      <c r="A24" s="2" t="s">
        <v>114</v>
      </c>
      <c r="B24" s="2"/>
      <c r="C24" s="3">
        <v>700</v>
      </c>
    </row>
    <row r="25" spans="1:6" ht="15.75" customHeight="1" x14ac:dyDescent="0.15">
      <c r="A25" s="2" t="s">
        <v>32</v>
      </c>
      <c r="B25" s="2"/>
      <c r="C25" s="3">
        <v>1400</v>
      </c>
    </row>
    <row r="26" spans="1:6" ht="15.75" customHeight="1" x14ac:dyDescent="0.15">
      <c r="A26" s="2"/>
      <c r="B26" s="2"/>
      <c r="C26" s="3">
        <f>SUM(C17:C25)</f>
        <v>18700</v>
      </c>
    </row>
    <row r="37" spans="3:3" ht="15.75" customHeight="1" x14ac:dyDescent="0.15">
      <c r="C37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F43"/>
  <sheetViews>
    <sheetView workbookViewId="0"/>
  </sheetViews>
  <sheetFormatPr baseColWidth="10" defaultColWidth="12.6640625" defaultRowHeight="15.75" customHeight="1" x14ac:dyDescent="0.15"/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20</v>
      </c>
      <c r="C3" s="2">
        <v>400</v>
      </c>
      <c r="D3" s="3">
        <f t="shared" ref="D3:D10" si="0">B3*C3</f>
        <v>8000</v>
      </c>
      <c r="E3" s="2">
        <v>450</v>
      </c>
      <c r="F3" s="3">
        <f t="shared" ref="F3:F10" si="1">B3*E3</f>
        <v>9000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35</v>
      </c>
      <c r="C5" s="2">
        <v>450</v>
      </c>
      <c r="D5" s="3">
        <f t="shared" si="0"/>
        <v>15750</v>
      </c>
      <c r="E5" s="2">
        <v>500</v>
      </c>
      <c r="F5" s="3">
        <f t="shared" si="1"/>
        <v>17500</v>
      </c>
    </row>
    <row r="6" spans="1:6" ht="15.75" customHeight="1" x14ac:dyDescent="0.15">
      <c r="A6" s="2" t="s">
        <v>8</v>
      </c>
      <c r="B6" s="2">
        <v>0</v>
      </c>
      <c r="C6" s="2">
        <v>1200</v>
      </c>
      <c r="D6" s="3">
        <f t="shared" si="0"/>
        <v>0</v>
      </c>
      <c r="E6" s="2">
        <v>1400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25</v>
      </c>
      <c r="C7" s="2">
        <v>800</v>
      </c>
      <c r="D7" s="3">
        <f t="shared" si="0"/>
        <v>20000</v>
      </c>
      <c r="E7" s="2">
        <v>1000</v>
      </c>
      <c r="F7" s="3">
        <f t="shared" si="1"/>
        <v>25000</v>
      </c>
    </row>
    <row r="8" spans="1:6" ht="15.75" customHeight="1" x14ac:dyDescent="0.15">
      <c r="A8" s="2" t="s">
        <v>10</v>
      </c>
      <c r="B8" s="2">
        <v>25</v>
      </c>
      <c r="C8" s="2">
        <v>700</v>
      </c>
      <c r="D8" s="3">
        <f t="shared" si="0"/>
        <v>17500</v>
      </c>
      <c r="E8" s="2">
        <v>800</v>
      </c>
      <c r="F8" s="3">
        <f t="shared" si="1"/>
        <v>20000</v>
      </c>
    </row>
    <row r="9" spans="1:6" ht="15.75" customHeight="1" x14ac:dyDescent="0.15">
      <c r="A9" s="2" t="s">
        <v>30</v>
      </c>
      <c r="B9" s="2">
        <v>18</v>
      </c>
      <c r="C9" s="2">
        <v>179.2</v>
      </c>
      <c r="D9" s="3">
        <f t="shared" si="0"/>
        <v>3225.6</v>
      </c>
      <c r="E9" s="2">
        <v>200</v>
      </c>
      <c r="F9" s="3">
        <f t="shared" si="1"/>
        <v>3600</v>
      </c>
    </row>
    <row r="10" spans="1:6" ht="15.75" customHeight="1" x14ac:dyDescent="0.15">
      <c r="A10" s="2" t="s">
        <v>11</v>
      </c>
      <c r="B10" s="2">
        <f>(12*3)+6</f>
        <v>42</v>
      </c>
      <c r="C10" s="2">
        <v>300</v>
      </c>
      <c r="D10" s="3">
        <f t="shared" si="0"/>
        <v>12600</v>
      </c>
      <c r="E10" s="2">
        <v>500</v>
      </c>
      <c r="F10" s="3">
        <f t="shared" si="1"/>
        <v>21000</v>
      </c>
    </row>
    <row r="11" spans="1:6" ht="15.75" customHeight="1" x14ac:dyDescent="0.15">
      <c r="D11" s="4">
        <f>SUM(D3:D10)</f>
        <v>89575.6</v>
      </c>
      <c r="F11" s="4">
        <f>SUM(F3:F10)</f>
        <v>113600</v>
      </c>
    </row>
    <row r="12" spans="1:6" ht="15.75" customHeight="1" x14ac:dyDescent="0.15">
      <c r="E12" s="5" t="s">
        <v>12</v>
      </c>
      <c r="F12" s="6">
        <f>F11-D11</f>
        <v>24024.399999999994</v>
      </c>
    </row>
    <row r="13" spans="1:6" ht="15.75" customHeight="1" x14ac:dyDescent="0.15">
      <c r="E13" s="7"/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f>63450+3000+1000+2000+900+600+400</f>
        <v>71350</v>
      </c>
    </row>
    <row r="16" spans="1:6" ht="15.75" customHeight="1" x14ac:dyDescent="0.15">
      <c r="A16" s="7" t="s">
        <v>19</v>
      </c>
      <c r="E16" s="2" t="s">
        <v>33</v>
      </c>
      <c r="F16" s="3">
        <f>8000+500</f>
        <v>8500</v>
      </c>
    </row>
    <row r="17" spans="1:6" ht="15.75" customHeight="1" x14ac:dyDescent="0.15">
      <c r="A17" s="2" t="s">
        <v>115</v>
      </c>
      <c r="B17" s="2"/>
      <c r="C17" s="3"/>
      <c r="E17" s="2" t="s">
        <v>116</v>
      </c>
      <c r="F17" s="3">
        <f>8*500</f>
        <v>4000</v>
      </c>
    </row>
    <row r="18" spans="1:6" ht="15.75" customHeight="1" x14ac:dyDescent="0.15">
      <c r="A18" s="2" t="s">
        <v>41</v>
      </c>
      <c r="B18" s="2"/>
      <c r="C18" s="3">
        <f>2500</f>
        <v>2500</v>
      </c>
      <c r="D18" s="8" t="s">
        <v>117</v>
      </c>
      <c r="E18" s="2" t="str">
        <f>A16</f>
        <v>Not Paid</v>
      </c>
      <c r="F18" s="3">
        <f>C32</f>
        <v>27750</v>
      </c>
    </row>
    <row r="19" spans="1:6" ht="15.75" customHeight="1" x14ac:dyDescent="0.15">
      <c r="A19" s="2" t="s">
        <v>55</v>
      </c>
      <c r="B19" s="2"/>
      <c r="C19" s="3">
        <v>3200</v>
      </c>
      <c r="D19" s="8" t="s">
        <v>117</v>
      </c>
      <c r="E19" s="2" t="s">
        <v>17</v>
      </c>
      <c r="F19" s="3">
        <f>SUM(F15:F18)</f>
        <v>111600</v>
      </c>
    </row>
    <row r="20" spans="1:6" ht="15.75" customHeight="1" x14ac:dyDescent="0.15">
      <c r="A20" s="2" t="s">
        <v>111</v>
      </c>
      <c r="B20" s="2"/>
      <c r="C20" s="3">
        <f>2000</f>
        <v>2000</v>
      </c>
      <c r="D20" s="8" t="s">
        <v>117</v>
      </c>
      <c r="E20" s="2"/>
      <c r="F20" s="3"/>
    </row>
    <row r="21" spans="1:6" ht="15.75" customHeight="1" x14ac:dyDescent="0.15">
      <c r="A21" s="2" t="s">
        <v>40</v>
      </c>
      <c r="B21" s="2"/>
      <c r="C21" s="3">
        <v>1000</v>
      </c>
      <c r="F21" s="4">
        <f>F11-F19-F20</f>
        <v>2000</v>
      </c>
    </row>
    <row r="22" spans="1:6" ht="15.75" customHeight="1" x14ac:dyDescent="0.15">
      <c r="A22" s="2" t="s">
        <v>112</v>
      </c>
      <c r="B22" s="2"/>
      <c r="C22" s="3">
        <v>950</v>
      </c>
      <c r="D22" s="8" t="s">
        <v>117</v>
      </c>
    </row>
    <row r="23" spans="1:6" ht="15.75" customHeight="1" x14ac:dyDescent="0.15">
      <c r="A23" s="2" t="s">
        <v>113</v>
      </c>
      <c r="B23" s="2"/>
      <c r="C23" s="3">
        <v>3500</v>
      </c>
      <c r="D23" s="8" t="s">
        <v>117</v>
      </c>
    </row>
    <row r="24" spans="1:6" ht="15.75" customHeight="1" x14ac:dyDescent="0.15">
      <c r="A24" s="2" t="s">
        <v>118</v>
      </c>
      <c r="B24" s="2"/>
      <c r="C24" s="3">
        <v>1000</v>
      </c>
      <c r="D24" s="8" t="s">
        <v>117</v>
      </c>
    </row>
    <row r="25" spans="1:6" ht="15.75" customHeight="1" x14ac:dyDescent="0.15">
      <c r="A25" s="2" t="s">
        <v>39</v>
      </c>
      <c r="B25" s="2"/>
      <c r="C25" s="3">
        <v>3200</v>
      </c>
      <c r="D25" s="8" t="s">
        <v>117</v>
      </c>
    </row>
    <row r="26" spans="1:6" ht="15.75" customHeight="1" x14ac:dyDescent="0.15">
      <c r="A26" s="2" t="s">
        <v>119</v>
      </c>
      <c r="B26" s="2"/>
      <c r="C26" s="3">
        <v>1200</v>
      </c>
      <c r="D26" s="8" t="s">
        <v>120</v>
      </c>
    </row>
    <row r="27" spans="1:6" ht="15.75" customHeight="1" x14ac:dyDescent="0.15">
      <c r="A27" s="2" t="s">
        <v>121</v>
      </c>
      <c r="B27" s="2"/>
      <c r="C27" s="3">
        <f>1000+1800+1000</f>
        <v>3800</v>
      </c>
      <c r="D27" s="8" t="s">
        <v>117</v>
      </c>
    </row>
    <row r="28" spans="1:6" ht="15.75" customHeight="1" x14ac:dyDescent="0.15">
      <c r="A28" s="2" t="s">
        <v>122</v>
      </c>
      <c r="B28" s="2"/>
      <c r="C28" s="3">
        <v>2000</v>
      </c>
      <c r="D28" s="8" t="s">
        <v>117</v>
      </c>
    </row>
    <row r="29" spans="1:6" ht="15.75" customHeight="1" x14ac:dyDescent="0.15">
      <c r="A29" s="2" t="s">
        <v>123</v>
      </c>
      <c r="B29" s="2"/>
      <c r="C29" s="3">
        <v>100</v>
      </c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 t="s">
        <v>32</v>
      </c>
      <c r="B31" s="2"/>
      <c r="C31" s="3">
        <v>3300</v>
      </c>
      <c r="D31" s="8" t="s">
        <v>117</v>
      </c>
    </row>
    <row r="32" spans="1:6" ht="15.75" customHeight="1" x14ac:dyDescent="0.15">
      <c r="A32" s="2"/>
      <c r="B32" s="2"/>
      <c r="C32" s="3">
        <f>SUM(C17:C31)</f>
        <v>27750</v>
      </c>
    </row>
    <row r="43" spans="3:3" ht="15.75" customHeight="1" x14ac:dyDescent="0.15">
      <c r="C43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F52"/>
  <sheetViews>
    <sheetView workbookViewId="0"/>
  </sheetViews>
  <sheetFormatPr baseColWidth="10" defaultColWidth="12.6640625" defaultRowHeight="15.75" customHeight="1" x14ac:dyDescent="0.15"/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f>31-6</f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30-6</f>
        <v>24</v>
      </c>
      <c r="C5" s="2">
        <v>450</v>
      </c>
      <c r="D5" s="3">
        <f t="shared" si="0"/>
        <v>10800</v>
      </c>
      <c r="E5" s="2">
        <v>500</v>
      </c>
      <c r="F5" s="3">
        <f t="shared" si="1"/>
        <v>12000</v>
      </c>
    </row>
    <row r="6" spans="1:6" ht="15.75" customHeight="1" x14ac:dyDescent="0.15">
      <c r="A6" s="2" t="s">
        <v>8</v>
      </c>
      <c r="B6" s="2">
        <v>5</v>
      </c>
      <c r="C6" s="2">
        <v>1200</v>
      </c>
      <c r="D6" s="3">
        <f t="shared" si="0"/>
        <v>6000</v>
      </c>
      <c r="E6" s="2">
        <v>1400</v>
      </c>
      <c r="F6" s="3">
        <f t="shared" si="1"/>
        <v>7000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f>26-6</f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f>7-6</f>
        <v>1</v>
      </c>
      <c r="C9" s="2">
        <f>3500/7</f>
        <v>500</v>
      </c>
      <c r="D9" s="3">
        <f t="shared" si="0"/>
        <v>500</v>
      </c>
      <c r="E9" s="2">
        <v>700</v>
      </c>
      <c r="F9" s="3">
        <f t="shared" si="1"/>
        <v>700</v>
      </c>
    </row>
    <row r="10" spans="1:6" ht="15.75" customHeight="1" x14ac:dyDescent="0.15">
      <c r="A10" s="2" t="s">
        <v>11</v>
      </c>
      <c r="B10" s="2">
        <v>48</v>
      </c>
      <c r="C10" s="2">
        <v>300</v>
      </c>
      <c r="D10" s="3">
        <f t="shared" si="0"/>
        <v>14400</v>
      </c>
      <c r="E10" s="2">
        <v>500</v>
      </c>
      <c r="F10" s="3">
        <f t="shared" si="1"/>
        <v>24000</v>
      </c>
    </row>
    <row r="11" spans="1:6" ht="15.75" customHeight="1" x14ac:dyDescent="0.15">
      <c r="D11" s="4">
        <f>SUM(D3:D10)</f>
        <v>84200</v>
      </c>
      <c r="F11" s="4">
        <f>SUM(F3:F10)</f>
        <v>108450</v>
      </c>
    </row>
    <row r="12" spans="1:6" ht="15.75" customHeight="1" x14ac:dyDescent="0.15">
      <c r="E12" s="5" t="s">
        <v>12</v>
      </c>
      <c r="F12" s="6">
        <f>F11-D11</f>
        <v>24250</v>
      </c>
    </row>
    <row r="13" spans="1:6" ht="15.75" customHeight="1" x14ac:dyDescent="0.15">
      <c r="E13" s="7"/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f>77150</f>
        <v>77150</v>
      </c>
    </row>
    <row r="16" spans="1:6" ht="15.75" customHeight="1" x14ac:dyDescent="0.15">
      <c r="A16" s="7" t="s">
        <v>19</v>
      </c>
      <c r="E16" s="2" t="s">
        <v>33</v>
      </c>
      <c r="F16" s="3">
        <f>1800</f>
        <v>1800</v>
      </c>
    </row>
    <row r="17" spans="1:6" ht="15.75" customHeight="1" x14ac:dyDescent="0.15">
      <c r="A17" s="2"/>
      <c r="B17" s="2"/>
      <c r="C17" s="3"/>
      <c r="E17" s="2" t="s">
        <v>116</v>
      </c>
      <c r="F17" s="3">
        <v>1500</v>
      </c>
    </row>
    <row r="18" spans="1:6" ht="15.75" customHeight="1" x14ac:dyDescent="0.15">
      <c r="A18" s="2" t="s">
        <v>118</v>
      </c>
      <c r="B18" s="2"/>
      <c r="C18" s="3">
        <v>3000</v>
      </c>
      <c r="E18" s="2" t="str">
        <f>A16</f>
        <v>Not Paid</v>
      </c>
      <c r="F18" s="3">
        <f>C32</f>
        <v>21300</v>
      </c>
    </row>
    <row r="19" spans="1:6" ht="15.75" customHeight="1" x14ac:dyDescent="0.15">
      <c r="A19" s="2" t="s">
        <v>37</v>
      </c>
      <c r="B19" s="2"/>
      <c r="C19" s="3">
        <f>450*3</f>
        <v>1350</v>
      </c>
      <c r="E19" s="8" t="s">
        <v>125</v>
      </c>
      <c r="F19" s="8">
        <v>1400</v>
      </c>
    </row>
    <row r="20" spans="1:6" ht="15.75" customHeight="1" x14ac:dyDescent="0.15">
      <c r="A20" s="2" t="s">
        <v>32</v>
      </c>
      <c r="B20" s="2"/>
      <c r="C20" s="3">
        <f>1500+1500+2100</f>
        <v>5100</v>
      </c>
      <c r="E20" s="2" t="s">
        <v>17</v>
      </c>
      <c r="F20" s="3">
        <f>SUM(F15:F19)</f>
        <v>103150</v>
      </c>
    </row>
    <row r="21" spans="1:6" ht="15.75" customHeight="1" x14ac:dyDescent="0.15">
      <c r="A21" s="2"/>
      <c r="B21" s="2"/>
      <c r="C21" s="3"/>
      <c r="F21" s="4">
        <f>F11-F20</f>
        <v>5300</v>
      </c>
    </row>
    <row r="22" spans="1:6" ht="15.75" customHeight="1" x14ac:dyDescent="0.15">
      <c r="A22" s="2" t="s">
        <v>113</v>
      </c>
      <c r="B22" s="2"/>
      <c r="C22" s="3">
        <f>3500+2300</f>
        <v>5800</v>
      </c>
    </row>
    <row r="23" spans="1:6" ht="15.75" customHeight="1" x14ac:dyDescent="0.15">
      <c r="A23" s="2" t="s">
        <v>41</v>
      </c>
      <c r="B23" s="2"/>
      <c r="C23" s="3">
        <v>2800</v>
      </c>
    </row>
    <row r="24" spans="1:6" ht="15.75" customHeight="1" x14ac:dyDescent="0.15">
      <c r="A24" s="2" t="s">
        <v>126</v>
      </c>
      <c r="B24" s="2"/>
      <c r="C24" s="3">
        <f>500+450+800</f>
        <v>1750</v>
      </c>
    </row>
    <row r="25" spans="1:6" ht="15.75" customHeight="1" x14ac:dyDescent="0.15">
      <c r="A25" s="2" t="s">
        <v>127</v>
      </c>
      <c r="B25" s="2"/>
      <c r="C25" s="3">
        <v>800</v>
      </c>
    </row>
    <row r="26" spans="1:6" ht="15.75" customHeight="1" x14ac:dyDescent="0.15">
      <c r="A26" s="2" t="s">
        <v>27</v>
      </c>
      <c r="B26" s="2"/>
      <c r="C26" s="3">
        <v>700</v>
      </c>
    </row>
    <row r="27" spans="1:6" ht="15.75" customHeight="1" x14ac:dyDescent="0.15">
      <c r="A27" s="2"/>
      <c r="B27" s="2"/>
      <c r="C27" s="3"/>
    </row>
    <row r="28" spans="1:6" ht="15.75" customHeight="1" x14ac:dyDescent="0.15">
      <c r="A28" s="2"/>
      <c r="B28" s="2"/>
      <c r="C28" s="3"/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>
        <f>SUM(C17:C31)</f>
        <v>21300</v>
      </c>
    </row>
    <row r="36" spans="1:3" ht="15.75" customHeight="1" x14ac:dyDescent="0.15">
      <c r="A36" s="8" t="s">
        <v>128</v>
      </c>
      <c r="B36" s="4">
        <f>F15</f>
        <v>77150</v>
      </c>
    </row>
    <row r="37" spans="1:3" ht="15.75" customHeight="1" x14ac:dyDescent="0.15">
      <c r="A37" s="8" t="s">
        <v>129</v>
      </c>
      <c r="B37" s="8">
        <f>F19</f>
        <v>1400</v>
      </c>
    </row>
    <row r="38" spans="1:3" ht="15.75" customHeight="1" x14ac:dyDescent="0.15">
      <c r="A38" s="8" t="s">
        <v>113</v>
      </c>
      <c r="B38" s="4">
        <f t="shared" ref="B38:B39" si="2">C22</f>
        <v>5800</v>
      </c>
    </row>
    <row r="39" spans="1:3" ht="15.75" customHeight="1" x14ac:dyDescent="0.15">
      <c r="A39" s="8" t="s">
        <v>41</v>
      </c>
      <c r="B39" s="4">
        <f t="shared" si="2"/>
        <v>2800</v>
      </c>
    </row>
    <row r="40" spans="1:3" ht="15.75" customHeight="1" x14ac:dyDescent="0.15">
      <c r="A40" s="8" t="s">
        <v>130</v>
      </c>
      <c r="B40" s="4">
        <f>C25</f>
        <v>800</v>
      </c>
    </row>
    <row r="41" spans="1:3" ht="15.75" customHeight="1" x14ac:dyDescent="0.15">
      <c r="A41" s="8" t="s">
        <v>32</v>
      </c>
      <c r="B41" s="8">
        <v>5100</v>
      </c>
    </row>
    <row r="42" spans="1:3" ht="15.75" customHeight="1" x14ac:dyDescent="0.15">
      <c r="A42" s="8" t="s">
        <v>131</v>
      </c>
      <c r="B42" s="47">
        <f>SUM(B36:B41)</f>
        <v>93050</v>
      </c>
    </row>
    <row r="43" spans="1:3" ht="15.75" customHeight="1" x14ac:dyDescent="0.15">
      <c r="C43" s="46"/>
    </row>
    <row r="44" spans="1:3" ht="15.75" customHeight="1" x14ac:dyDescent="0.15">
      <c r="A44" s="8" t="str">
        <f t="shared" ref="A44:A45" si="3">A18</f>
        <v>Nonso</v>
      </c>
      <c r="B44" s="4">
        <f t="shared" ref="B44:B45" si="4">C18</f>
        <v>3000</v>
      </c>
    </row>
    <row r="45" spans="1:3" ht="15.75" customHeight="1" x14ac:dyDescent="0.15">
      <c r="A45" s="8" t="str">
        <f t="shared" si="3"/>
        <v>Min Tosin</v>
      </c>
      <c r="B45" s="4">
        <f t="shared" si="4"/>
        <v>1350</v>
      </c>
    </row>
    <row r="46" spans="1:3" ht="15.75" customHeight="1" x14ac:dyDescent="0.15">
      <c r="A46" s="8" t="s">
        <v>27</v>
      </c>
      <c r="B46" s="4">
        <f>C26+F16</f>
        <v>2500</v>
      </c>
    </row>
    <row r="47" spans="1:3" ht="15.75" customHeight="1" x14ac:dyDescent="0.15">
      <c r="A47" s="8" t="str">
        <f>A24</f>
        <v xml:space="preserve">Seyifunmi </v>
      </c>
      <c r="B47" s="4">
        <f>C24</f>
        <v>1750</v>
      </c>
    </row>
    <row r="48" spans="1:3" ht="15.75" customHeight="1" x14ac:dyDescent="0.15">
      <c r="A48" s="8" t="s">
        <v>132</v>
      </c>
      <c r="B48" s="47">
        <f>SUM(B44:B47)</f>
        <v>8600</v>
      </c>
    </row>
    <row r="49" spans="1:2" ht="15.75" customHeight="1" x14ac:dyDescent="0.15">
      <c r="A49" s="8" t="s">
        <v>116</v>
      </c>
      <c r="B49" s="4">
        <f>F17</f>
        <v>1500</v>
      </c>
    </row>
    <row r="51" spans="1:2" ht="15.75" customHeight="1" x14ac:dyDescent="0.15">
      <c r="B51" s="47">
        <f>B42+B48+B49</f>
        <v>103150</v>
      </c>
    </row>
    <row r="52" spans="1:2" ht="15.75" customHeight="1" x14ac:dyDescent="0.15">
      <c r="B52" s="4">
        <f>111450-B51</f>
        <v>8300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F41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20</v>
      </c>
      <c r="C3" s="2">
        <v>400</v>
      </c>
      <c r="D3" s="3">
        <f t="shared" ref="D3:D10" si="0">B3*C3</f>
        <v>8000</v>
      </c>
      <c r="E3" s="2">
        <v>450</v>
      </c>
      <c r="F3" s="3">
        <f t="shared" ref="F3:F10" si="1">B3*E3</f>
        <v>9000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450</v>
      </c>
      <c r="D5" s="3">
        <f t="shared" si="0"/>
        <v>11250</v>
      </c>
      <c r="E5" s="2">
        <v>500</v>
      </c>
      <c r="F5" s="3">
        <f t="shared" si="1"/>
        <v>12500</v>
      </c>
    </row>
    <row r="6" spans="1:6" ht="15.75" customHeight="1" x14ac:dyDescent="0.15">
      <c r="A6" s="2" t="s">
        <v>133</v>
      </c>
      <c r="B6" s="2">
        <v>14</v>
      </c>
      <c r="C6" s="2">
        <v>500</v>
      </c>
      <c r="D6" s="3">
        <f t="shared" si="0"/>
        <v>7000</v>
      </c>
      <c r="E6" s="2">
        <v>600</v>
      </c>
      <c r="F6" s="3">
        <f t="shared" si="1"/>
        <v>8400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10</v>
      </c>
      <c r="C9" s="2">
        <f>3500/7</f>
        <v>500</v>
      </c>
      <c r="D9" s="3">
        <f t="shared" si="0"/>
        <v>5000</v>
      </c>
      <c r="E9" s="2">
        <v>600</v>
      </c>
      <c r="F9" s="3">
        <f t="shared" si="1"/>
        <v>6000</v>
      </c>
    </row>
    <row r="10" spans="1:6" ht="15.75" customHeight="1" x14ac:dyDescent="0.15">
      <c r="A10" s="2" t="s">
        <v>11</v>
      </c>
      <c r="B10" s="2">
        <v>48</v>
      </c>
      <c r="C10" s="2">
        <v>300</v>
      </c>
      <c r="D10" s="3">
        <f t="shared" si="0"/>
        <v>14400</v>
      </c>
      <c r="E10" s="2">
        <v>500</v>
      </c>
      <c r="F10" s="3">
        <f t="shared" si="1"/>
        <v>24000</v>
      </c>
    </row>
    <row r="11" spans="1:6" ht="15.75" customHeight="1" x14ac:dyDescent="0.15">
      <c r="D11" s="4">
        <f>SUM(D3:D10)</f>
        <v>88150</v>
      </c>
      <c r="F11" s="4">
        <f>SUM(F3:F10)</f>
        <v>113400</v>
      </c>
    </row>
    <row r="12" spans="1:6" ht="15.75" customHeight="1" x14ac:dyDescent="0.15">
      <c r="E12" s="5" t="s">
        <v>12</v>
      </c>
      <c r="F12" s="6">
        <f>F11-D11</f>
        <v>25250</v>
      </c>
    </row>
    <row r="13" spans="1:6" ht="15.75" customHeight="1" x14ac:dyDescent="0.15">
      <c r="E13" s="7"/>
    </row>
    <row r="14" spans="1:6" ht="15.75" customHeight="1" x14ac:dyDescent="0.15">
      <c r="E14" s="7" t="s">
        <v>13</v>
      </c>
    </row>
    <row r="15" spans="1:6" ht="15.75" customHeight="1" x14ac:dyDescent="0.15">
      <c r="E15" s="2" t="s">
        <v>14</v>
      </c>
      <c r="F15" s="3">
        <f>72350</f>
        <v>72350</v>
      </c>
    </row>
    <row r="16" spans="1:6" ht="15.75" customHeight="1" x14ac:dyDescent="0.15">
      <c r="A16" s="7" t="s">
        <v>19</v>
      </c>
      <c r="E16" s="2" t="s">
        <v>33</v>
      </c>
      <c r="F16" s="3">
        <v>6200</v>
      </c>
    </row>
    <row r="17" spans="1:6" ht="15.75" customHeight="1" x14ac:dyDescent="0.15">
      <c r="A17" s="2"/>
      <c r="B17" s="2"/>
      <c r="C17" s="3"/>
      <c r="E17" s="2" t="s">
        <v>116</v>
      </c>
      <c r="F17" s="3">
        <f>500*12</f>
        <v>6000</v>
      </c>
    </row>
    <row r="18" spans="1:6" ht="15.75" customHeight="1" x14ac:dyDescent="0.15">
      <c r="A18" s="2" t="s">
        <v>134</v>
      </c>
      <c r="B18" s="2"/>
      <c r="C18" s="3">
        <v>500</v>
      </c>
      <c r="D18" s="8" t="s">
        <v>117</v>
      </c>
      <c r="E18" s="2" t="str">
        <f>A16</f>
        <v>Not Paid</v>
      </c>
      <c r="F18" s="3">
        <f>C32</f>
        <v>29150</v>
      </c>
    </row>
    <row r="19" spans="1:6" ht="15.75" customHeight="1" x14ac:dyDescent="0.15">
      <c r="A19" s="2" t="s">
        <v>126</v>
      </c>
      <c r="B19" s="2"/>
      <c r="C19" s="48">
        <v>500</v>
      </c>
      <c r="D19" s="8" t="s">
        <v>117</v>
      </c>
      <c r="E19" s="2" t="s">
        <v>125</v>
      </c>
      <c r="F19" s="8">
        <v>0</v>
      </c>
    </row>
    <row r="20" spans="1:6" ht="15.75" customHeight="1" x14ac:dyDescent="0.15">
      <c r="A20" s="2" t="s">
        <v>55</v>
      </c>
      <c r="B20" s="2"/>
      <c r="C20" s="3">
        <v>2000</v>
      </c>
      <c r="D20" s="8" t="s">
        <v>117</v>
      </c>
      <c r="E20" s="2" t="s">
        <v>17</v>
      </c>
      <c r="F20" s="3">
        <f>SUM(F15:F19)</f>
        <v>113700</v>
      </c>
    </row>
    <row r="21" spans="1:6" ht="15.75" customHeight="1" x14ac:dyDescent="0.15">
      <c r="A21" s="2" t="s">
        <v>28</v>
      </c>
      <c r="B21" s="2"/>
      <c r="C21" s="3">
        <v>450</v>
      </c>
      <c r="D21" s="8" t="s">
        <v>117</v>
      </c>
      <c r="F21" s="4">
        <f>F11-F20</f>
        <v>-300</v>
      </c>
    </row>
    <row r="22" spans="1:6" ht="15.75" customHeight="1" x14ac:dyDescent="0.15">
      <c r="A22" s="2" t="s">
        <v>135</v>
      </c>
      <c r="B22" s="2"/>
      <c r="C22" s="3">
        <v>3200</v>
      </c>
      <c r="D22" s="8" t="s">
        <v>117</v>
      </c>
    </row>
    <row r="23" spans="1:6" ht="15.75" customHeight="1" x14ac:dyDescent="0.15">
      <c r="A23" s="2" t="s">
        <v>37</v>
      </c>
      <c r="B23" s="2"/>
      <c r="C23" s="3">
        <f>1900+600</f>
        <v>2500</v>
      </c>
      <c r="D23" s="8" t="s">
        <v>117</v>
      </c>
    </row>
    <row r="24" spans="1:6" ht="15.75" customHeight="1" x14ac:dyDescent="0.15">
      <c r="A24" s="2" t="s">
        <v>136</v>
      </c>
      <c r="B24" s="2"/>
      <c r="C24" s="3">
        <v>3800</v>
      </c>
      <c r="D24" s="8" t="s">
        <v>117</v>
      </c>
    </row>
    <row r="25" spans="1:6" ht="15.75" customHeight="1" x14ac:dyDescent="0.15">
      <c r="A25" s="2" t="s">
        <v>22</v>
      </c>
      <c r="B25" s="2"/>
      <c r="C25" s="3">
        <v>1200</v>
      </c>
      <c r="D25" s="8" t="s">
        <v>117</v>
      </c>
    </row>
    <row r="26" spans="1:6" ht="15.75" customHeight="1" x14ac:dyDescent="0.15">
      <c r="A26" s="2" t="s">
        <v>118</v>
      </c>
      <c r="B26" s="2"/>
      <c r="C26" s="3">
        <v>2700</v>
      </c>
      <c r="D26" s="8" t="s">
        <v>117</v>
      </c>
    </row>
    <row r="27" spans="1:6" ht="15.75" customHeight="1" x14ac:dyDescent="0.15">
      <c r="A27" s="2" t="s">
        <v>137</v>
      </c>
      <c r="B27" s="2"/>
      <c r="C27" s="3">
        <v>1700</v>
      </c>
      <c r="D27" s="8" t="s">
        <v>117</v>
      </c>
    </row>
    <row r="28" spans="1:6" ht="15.75" customHeight="1" x14ac:dyDescent="0.15">
      <c r="A28" s="2" t="s">
        <v>138</v>
      </c>
      <c r="B28" s="2"/>
      <c r="C28" s="3">
        <v>2000</v>
      </c>
      <c r="D28" s="8" t="s">
        <v>117</v>
      </c>
    </row>
    <row r="29" spans="1:6" ht="15.75" customHeight="1" x14ac:dyDescent="0.15">
      <c r="A29" s="2" t="s">
        <v>139</v>
      </c>
      <c r="B29" s="2"/>
      <c r="C29" s="3">
        <v>1500</v>
      </c>
      <c r="D29" s="8" t="s">
        <v>117</v>
      </c>
    </row>
    <row r="30" spans="1:6" ht="15.75" customHeight="1" x14ac:dyDescent="0.15">
      <c r="A30" s="2" t="s">
        <v>32</v>
      </c>
      <c r="B30" s="2"/>
      <c r="C30" s="3">
        <f>(600*4)+(500*4)+(500*3)</f>
        <v>5900</v>
      </c>
    </row>
    <row r="31" spans="1:6" ht="15.75" customHeight="1" x14ac:dyDescent="0.15">
      <c r="A31" s="2" t="s">
        <v>140</v>
      </c>
      <c r="B31" s="2"/>
      <c r="C31" s="48">
        <f>1200</f>
        <v>1200</v>
      </c>
      <c r="D31" s="8" t="s">
        <v>117</v>
      </c>
    </row>
    <row r="32" spans="1:6" ht="15.75" customHeight="1" x14ac:dyDescent="0.15">
      <c r="A32" s="2"/>
      <c r="B32" s="2"/>
      <c r="C32" s="3">
        <f>SUM(C17:C31)</f>
        <v>29150</v>
      </c>
    </row>
    <row r="33" spans="2:3" ht="15.75" customHeight="1" x14ac:dyDescent="0.15">
      <c r="C33" s="46"/>
    </row>
    <row r="38" spans="2:3" ht="15.75" customHeight="1" x14ac:dyDescent="0.15">
      <c r="B38" s="7"/>
    </row>
    <row r="41" spans="2:3" ht="15.75" customHeight="1" x14ac:dyDescent="0.15">
      <c r="B4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20</v>
      </c>
      <c r="C3" s="2">
        <v>400</v>
      </c>
      <c r="D3" s="3">
        <f t="shared" ref="D3:D10" si="0">B3*C3</f>
        <v>8000</v>
      </c>
      <c r="E3" s="2">
        <v>450</v>
      </c>
      <c r="F3" s="3">
        <f t="shared" ref="F3:F10" si="1">B3*E3</f>
        <v>9000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450</v>
      </c>
      <c r="D5" s="3">
        <f t="shared" si="0"/>
        <v>11250</v>
      </c>
      <c r="E5" s="2">
        <v>500</v>
      </c>
      <c r="F5" s="3">
        <f t="shared" si="1"/>
        <v>12500</v>
      </c>
    </row>
    <row r="6" spans="1:6" ht="15.75" customHeight="1" x14ac:dyDescent="0.15">
      <c r="A6" s="2" t="s">
        <v>133</v>
      </c>
      <c r="B6" s="2"/>
      <c r="C6" s="2">
        <v>500</v>
      </c>
      <c r="D6" s="3">
        <f t="shared" si="0"/>
        <v>0</v>
      </c>
      <c r="E6" s="2">
        <v>600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15</v>
      </c>
      <c r="C7" s="2">
        <v>800</v>
      </c>
      <c r="D7" s="3">
        <f t="shared" si="0"/>
        <v>12000</v>
      </c>
      <c r="E7" s="2">
        <v>1000</v>
      </c>
      <c r="F7" s="3">
        <f t="shared" si="1"/>
        <v>15000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v>48</v>
      </c>
      <c r="C10" s="2">
        <v>300</v>
      </c>
      <c r="D10" s="3">
        <f t="shared" si="0"/>
        <v>14400</v>
      </c>
      <c r="E10" s="2">
        <v>500</v>
      </c>
      <c r="F10" s="3">
        <f t="shared" si="1"/>
        <v>24000</v>
      </c>
    </row>
    <row r="11" spans="1:6" ht="15.75" customHeight="1" x14ac:dyDescent="0.15">
      <c r="D11" s="4">
        <f>SUM(D3:D10)</f>
        <v>79650</v>
      </c>
      <c r="F11" s="4">
        <f>SUM(F3:F10)</f>
        <v>103000</v>
      </c>
    </row>
    <row r="12" spans="1:6" ht="15.75" customHeight="1" x14ac:dyDescent="0.15">
      <c r="E12" s="5" t="s">
        <v>141</v>
      </c>
      <c r="F12" s="6">
        <v>4700</v>
      </c>
    </row>
    <row r="13" spans="1:6" ht="15.75" customHeight="1" x14ac:dyDescent="0.15">
      <c r="E13" s="5" t="s">
        <v>12</v>
      </c>
      <c r="F13" s="6">
        <f>F11-D11-F12</f>
        <v>18650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f>72000</f>
        <v>72000</v>
      </c>
    </row>
    <row r="17" spans="1:6" ht="15.75" customHeight="1" x14ac:dyDescent="0.15">
      <c r="A17" s="7" t="s">
        <v>19</v>
      </c>
      <c r="E17" s="2" t="s">
        <v>33</v>
      </c>
      <c r="F17" s="3">
        <v>3000</v>
      </c>
    </row>
    <row r="18" spans="1:6" ht="15.75" customHeight="1" x14ac:dyDescent="0.15">
      <c r="A18" s="2"/>
      <c r="B18" s="2"/>
      <c r="C18" s="3"/>
      <c r="E18" s="2" t="s">
        <v>116</v>
      </c>
      <c r="F18" s="3">
        <f>2500</f>
        <v>2500</v>
      </c>
    </row>
    <row r="19" spans="1:6" ht="15.75" customHeight="1" x14ac:dyDescent="0.15">
      <c r="A19" s="2" t="s">
        <v>140</v>
      </c>
      <c r="B19" s="2"/>
      <c r="C19" s="3">
        <v>2000</v>
      </c>
      <c r="D19" s="8" t="s">
        <v>117</v>
      </c>
      <c r="E19" s="2" t="str">
        <f>A17</f>
        <v>Not Paid</v>
      </c>
      <c r="F19" s="3">
        <f>C33</f>
        <v>26500</v>
      </c>
    </row>
    <row r="20" spans="1:6" ht="15.75" customHeight="1" x14ac:dyDescent="0.15">
      <c r="A20" s="2" t="s">
        <v>142</v>
      </c>
      <c r="B20" s="2"/>
      <c r="C20" s="3">
        <v>1500</v>
      </c>
      <c r="E20" s="2" t="s">
        <v>125</v>
      </c>
      <c r="F20" s="8">
        <v>0</v>
      </c>
    </row>
    <row r="21" spans="1:6" ht="15.75" customHeight="1" x14ac:dyDescent="0.15">
      <c r="A21" s="2" t="s">
        <v>143</v>
      </c>
      <c r="B21" s="2"/>
      <c r="C21" s="3">
        <v>1000</v>
      </c>
      <c r="E21" s="2" t="s">
        <v>17</v>
      </c>
      <c r="F21" s="3">
        <f>SUM(F16:F20)</f>
        <v>104000</v>
      </c>
    </row>
    <row r="22" spans="1:6" ht="15.75" customHeight="1" x14ac:dyDescent="0.15">
      <c r="A22" s="2" t="s">
        <v>138</v>
      </c>
      <c r="B22" s="2"/>
      <c r="C22" s="3">
        <v>3600</v>
      </c>
      <c r="F22" s="4">
        <f>F11-F21</f>
        <v>-1000</v>
      </c>
    </row>
    <row r="23" spans="1:6" ht="15.75" customHeight="1" x14ac:dyDescent="0.15">
      <c r="A23" s="2" t="s">
        <v>41</v>
      </c>
      <c r="B23" s="2"/>
      <c r="C23" s="3">
        <v>2900</v>
      </c>
    </row>
    <row r="24" spans="1:6" ht="15.75" customHeight="1" x14ac:dyDescent="0.15">
      <c r="A24" s="2" t="s">
        <v>144</v>
      </c>
      <c r="B24" s="2"/>
      <c r="C24" s="3">
        <v>3000</v>
      </c>
    </row>
    <row r="25" spans="1:6" ht="15.75" customHeight="1" x14ac:dyDescent="0.15">
      <c r="A25" s="2" t="s">
        <v>145</v>
      </c>
      <c r="B25" s="2"/>
      <c r="C25" s="3">
        <v>1300</v>
      </c>
    </row>
    <row r="26" spans="1:6" ht="15.75" customHeight="1" x14ac:dyDescent="0.15">
      <c r="A26" s="2" t="s">
        <v>146</v>
      </c>
      <c r="B26" s="2"/>
      <c r="C26" s="3">
        <v>2000</v>
      </c>
    </row>
    <row r="27" spans="1:6" ht="15.75" customHeight="1" x14ac:dyDescent="0.15">
      <c r="A27" s="2" t="s">
        <v>32</v>
      </c>
      <c r="B27" s="2"/>
      <c r="C27" s="3">
        <v>5900</v>
      </c>
    </row>
    <row r="28" spans="1:6" ht="15.75" customHeight="1" x14ac:dyDescent="0.15">
      <c r="A28" s="2" t="s">
        <v>111</v>
      </c>
      <c r="B28" s="2"/>
      <c r="C28" s="3">
        <v>1500</v>
      </c>
    </row>
    <row r="29" spans="1:6" ht="15.75" customHeight="1" x14ac:dyDescent="0.15">
      <c r="A29" s="2" t="s">
        <v>137</v>
      </c>
      <c r="B29" s="2"/>
      <c r="C29" s="3">
        <v>1800</v>
      </c>
      <c r="D29" s="8" t="s">
        <v>117</v>
      </c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26500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30</v>
      </c>
      <c r="C5" s="2">
        <v>450</v>
      </c>
      <c r="D5" s="3">
        <f t="shared" si="0"/>
        <v>13500</v>
      </c>
      <c r="E5" s="2">
        <v>500</v>
      </c>
      <c r="F5" s="3">
        <f t="shared" si="1"/>
        <v>15000</v>
      </c>
    </row>
    <row r="6" spans="1:6" ht="15.75" customHeight="1" x14ac:dyDescent="0.15">
      <c r="A6" s="2" t="s">
        <v>133</v>
      </c>
      <c r="B6" s="2"/>
      <c r="C6" s="2">
        <v>500</v>
      </c>
      <c r="D6" s="3">
        <f t="shared" si="0"/>
        <v>0</v>
      </c>
      <c r="E6" s="2">
        <v>600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f>48-20</f>
        <v>28</v>
      </c>
      <c r="C10" s="2">
        <v>300</v>
      </c>
      <c r="D10" s="3">
        <f t="shared" si="0"/>
        <v>8400</v>
      </c>
      <c r="E10" s="2">
        <v>500</v>
      </c>
      <c r="F10" s="3">
        <f t="shared" si="1"/>
        <v>14000</v>
      </c>
    </row>
    <row r="11" spans="1:6" ht="15.75" customHeight="1" x14ac:dyDescent="0.15">
      <c r="D11" s="4">
        <f>SUM(D3:D10)</f>
        <v>81900</v>
      </c>
      <c r="F11" s="4">
        <f>SUM(F3:F10)</f>
        <v>102750</v>
      </c>
    </row>
    <row r="12" spans="1:6" ht="15.75" customHeight="1" x14ac:dyDescent="0.15">
      <c r="E12" s="5" t="s">
        <v>141</v>
      </c>
      <c r="F12" s="6"/>
    </row>
    <row r="13" spans="1:6" ht="15.75" customHeight="1" x14ac:dyDescent="0.15">
      <c r="E13" s="5" t="s">
        <v>12</v>
      </c>
      <c r="F13" s="6">
        <f>F11-D11-F12</f>
        <v>20850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v>61300</v>
      </c>
    </row>
    <row r="17" spans="1:6" ht="15.75" customHeight="1" x14ac:dyDescent="0.15">
      <c r="A17" s="7" t="s">
        <v>19</v>
      </c>
      <c r="E17" s="2" t="s">
        <v>33</v>
      </c>
      <c r="F17" s="3">
        <v>17500</v>
      </c>
    </row>
    <row r="18" spans="1:6" ht="15.75" customHeight="1" x14ac:dyDescent="0.15">
      <c r="A18" s="2" t="s">
        <v>111</v>
      </c>
      <c r="B18" s="2"/>
      <c r="C18" s="3">
        <v>1200</v>
      </c>
      <c r="E18" s="2" t="s">
        <v>116</v>
      </c>
      <c r="F18" s="3">
        <f>6500</f>
        <v>6500</v>
      </c>
    </row>
    <row r="19" spans="1:6" ht="15.75" customHeight="1" x14ac:dyDescent="0.15">
      <c r="A19" s="2" t="s">
        <v>113</v>
      </c>
      <c r="B19" s="2"/>
      <c r="C19" s="3">
        <v>1900</v>
      </c>
      <c r="E19" s="2" t="str">
        <f>A17</f>
        <v>Not Paid</v>
      </c>
      <c r="F19" s="3">
        <f>C33</f>
        <v>8900</v>
      </c>
    </row>
    <row r="20" spans="1:6" ht="15.75" customHeight="1" x14ac:dyDescent="0.15">
      <c r="A20" s="2" t="s">
        <v>147</v>
      </c>
      <c r="B20" s="2"/>
      <c r="C20" s="3">
        <v>2800</v>
      </c>
      <c r="E20" s="2" t="s">
        <v>148</v>
      </c>
      <c r="F20" s="4">
        <f>6600+4200</f>
        <v>10800</v>
      </c>
    </row>
    <row r="21" spans="1:6" ht="15.75" customHeight="1" x14ac:dyDescent="0.15">
      <c r="A21" s="2" t="s">
        <v>149</v>
      </c>
      <c r="B21" s="2"/>
      <c r="C21" s="3">
        <v>3000</v>
      </c>
      <c r="E21" s="2" t="s">
        <v>17</v>
      </c>
      <c r="F21" s="3">
        <f>SUM(F16:F20)</f>
        <v>105000</v>
      </c>
    </row>
    <row r="22" spans="1:6" ht="15.75" customHeight="1" x14ac:dyDescent="0.15">
      <c r="A22" s="2"/>
      <c r="B22" s="2"/>
      <c r="C22" s="3"/>
      <c r="F22" s="4">
        <f>F11-F21</f>
        <v>-2250</v>
      </c>
    </row>
    <row r="23" spans="1:6" ht="15.75" customHeight="1" x14ac:dyDescent="0.15">
      <c r="A23" s="2"/>
      <c r="B23" s="2"/>
      <c r="C23" s="3"/>
    </row>
    <row r="24" spans="1:6" ht="15.75" customHeight="1" x14ac:dyDescent="0.15">
      <c r="A24" s="2"/>
      <c r="B24" s="2"/>
      <c r="C24" s="3"/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</row>
    <row r="28" spans="1:6" ht="15.75" customHeight="1" x14ac:dyDescent="0.15">
      <c r="A28" s="2"/>
      <c r="B28" s="2"/>
      <c r="C28" s="3"/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8900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30</v>
      </c>
      <c r="C5" s="2">
        <v>450</v>
      </c>
      <c r="D5" s="3">
        <f t="shared" si="0"/>
        <v>13500</v>
      </c>
      <c r="E5" s="2">
        <v>500</v>
      </c>
      <c r="F5" s="3">
        <f t="shared" si="1"/>
        <v>15000</v>
      </c>
    </row>
    <row r="6" spans="1:6" ht="15.75" customHeight="1" x14ac:dyDescent="0.15">
      <c r="A6" s="2" t="s">
        <v>150</v>
      </c>
      <c r="B6" s="2">
        <v>12</v>
      </c>
      <c r="C6" s="2">
        <v>900</v>
      </c>
      <c r="D6" s="3">
        <f t="shared" si="0"/>
        <v>10800</v>
      </c>
      <c r="E6" s="2">
        <v>1000</v>
      </c>
      <c r="F6" s="3">
        <f t="shared" si="1"/>
        <v>12000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f>48-9</f>
        <v>39</v>
      </c>
      <c r="C10" s="2">
        <v>300</v>
      </c>
      <c r="D10" s="3">
        <f t="shared" si="0"/>
        <v>11700</v>
      </c>
      <c r="E10" s="2">
        <v>500</v>
      </c>
      <c r="F10" s="3">
        <f t="shared" si="1"/>
        <v>19500</v>
      </c>
    </row>
    <row r="11" spans="1:6" ht="15.75" customHeight="1" x14ac:dyDescent="0.15">
      <c r="D11" s="4">
        <f>SUM(D3:D10)</f>
        <v>96000</v>
      </c>
      <c r="F11" s="4">
        <f>SUM(F3:F10)</f>
        <v>120250</v>
      </c>
    </row>
    <row r="12" spans="1:6" ht="15.75" customHeight="1" x14ac:dyDescent="0.15">
      <c r="E12" s="5" t="s">
        <v>141</v>
      </c>
      <c r="F12" s="6">
        <v>3900</v>
      </c>
    </row>
    <row r="13" spans="1:6" ht="15.75" customHeight="1" x14ac:dyDescent="0.15">
      <c r="E13" s="5" t="s">
        <v>12</v>
      </c>
      <c r="F13" s="6">
        <f>F11-D11-F12</f>
        <v>20350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v>84000</v>
      </c>
    </row>
    <row r="17" spans="1:6" ht="15.75" customHeight="1" x14ac:dyDescent="0.15">
      <c r="A17" s="7" t="s">
        <v>19</v>
      </c>
      <c r="E17" s="2" t="s">
        <v>33</v>
      </c>
      <c r="F17" s="3">
        <v>2000</v>
      </c>
    </row>
    <row r="18" spans="1:6" ht="15.75" customHeight="1" x14ac:dyDescent="0.15">
      <c r="A18" s="2" t="s">
        <v>118</v>
      </c>
      <c r="B18" s="2"/>
      <c r="C18" s="3">
        <v>2100</v>
      </c>
      <c r="E18" s="2" t="s">
        <v>151</v>
      </c>
      <c r="F18" s="3">
        <v>16600</v>
      </c>
    </row>
    <row r="19" spans="1:6" ht="15.75" customHeight="1" x14ac:dyDescent="0.15">
      <c r="A19" s="2" t="s">
        <v>113</v>
      </c>
      <c r="B19" s="2"/>
      <c r="C19" s="3">
        <v>4900</v>
      </c>
      <c r="D19" s="8" t="s">
        <v>117</v>
      </c>
      <c r="E19" s="2" t="str">
        <f>A17</f>
        <v>Not Paid</v>
      </c>
      <c r="F19" s="3">
        <f>C33</f>
        <v>12300</v>
      </c>
    </row>
    <row r="20" spans="1:6" ht="15.75" customHeight="1" x14ac:dyDescent="0.15">
      <c r="A20" s="2" t="s">
        <v>147</v>
      </c>
      <c r="B20" s="2"/>
      <c r="C20" s="3">
        <v>4300</v>
      </c>
      <c r="E20" s="2" t="s">
        <v>148</v>
      </c>
      <c r="F20" s="4"/>
    </row>
    <row r="21" spans="1:6" ht="15.75" customHeight="1" x14ac:dyDescent="0.15">
      <c r="A21" s="2" t="s">
        <v>27</v>
      </c>
      <c r="B21" s="2"/>
      <c r="C21" s="3">
        <v>1000</v>
      </c>
      <c r="E21" s="2" t="s">
        <v>17</v>
      </c>
      <c r="F21" s="3">
        <f>SUM(F16:F20)</f>
        <v>114900</v>
      </c>
    </row>
    <row r="22" spans="1:6" ht="15.75" customHeight="1" x14ac:dyDescent="0.15">
      <c r="A22" s="2"/>
      <c r="B22" s="2"/>
      <c r="C22" s="3"/>
      <c r="E22" s="8" t="s">
        <v>152</v>
      </c>
      <c r="F22" s="47">
        <f>F11-F21</f>
        <v>5350</v>
      </c>
    </row>
    <row r="23" spans="1:6" ht="15.75" customHeight="1" x14ac:dyDescent="0.15">
      <c r="A23" s="2"/>
      <c r="B23" s="2"/>
      <c r="C23" s="3"/>
    </row>
    <row r="24" spans="1:6" ht="15.75" customHeight="1" x14ac:dyDescent="0.15">
      <c r="A24" s="2"/>
      <c r="B24" s="2"/>
      <c r="C24" s="3"/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</row>
    <row r="28" spans="1:6" ht="15.75" customHeight="1" x14ac:dyDescent="0.15">
      <c r="A28" s="2"/>
      <c r="B28" s="2"/>
      <c r="C28" s="3"/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12300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30-13</f>
        <v>17</v>
      </c>
      <c r="C5" s="2">
        <v>450</v>
      </c>
      <c r="D5" s="3">
        <f t="shared" si="0"/>
        <v>7650</v>
      </c>
      <c r="E5" s="2">
        <v>500</v>
      </c>
      <c r="F5" s="3">
        <f t="shared" si="1"/>
        <v>8500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v>48</v>
      </c>
      <c r="C10" s="2">
        <v>300</v>
      </c>
      <c r="D10" s="3">
        <f t="shared" si="0"/>
        <v>14400</v>
      </c>
      <c r="E10" s="2">
        <v>500</v>
      </c>
      <c r="F10" s="3">
        <f t="shared" si="1"/>
        <v>24000</v>
      </c>
    </row>
    <row r="11" spans="1:6" ht="15.75" customHeight="1" x14ac:dyDescent="0.15">
      <c r="D11" s="4">
        <f>SUM(D3:D10)</f>
        <v>82050</v>
      </c>
      <c r="F11" s="4">
        <f>SUM(F3:F10)</f>
        <v>106250</v>
      </c>
    </row>
    <row r="12" spans="1:6" ht="15.75" customHeight="1" x14ac:dyDescent="0.15">
      <c r="E12" s="5" t="s">
        <v>141</v>
      </c>
      <c r="F12" s="6"/>
    </row>
    <row r="13" spans="1:6" ht="15.75" customHeight="1" x14ac:dyDescent="0.15">
      <c r="E13" s="5" t="s">
        <v>12</v>
      </c>
      <c r="F13" s="6">
        <f>F11-D11-F12</f>
        <v>24200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v>99000</v>
      </c>
    </row>
    <row r="17" spans="1:6" ht="15.75" customHeight="1" x14ac:dyDescent="0.15">
      <c r="A17" s="7" t="s">
        <v>19</v>
      </c>
      <c r="E17" s="2" t="s">
        <v>33</v>
      </c>
      <c r="F17" s="3"/>
    </row>
    <row r="18" spans="1:6" ht="15.75" customHeight="1" x14ac:dyDescent="0.15">
      <c r="A18" s="2" t="s">
        <v>111</v>
      </c>
      <c r="B18" s="2"/>
      <c r="C18" s="49">
        <v>2600</v>
      </c>
      <c r="D18" s="8" t="s">
        <v>153</v>
      </c>
      <c r="E18" s="2" t="s">
        <v>151</v>
      </c>
      <c r="F18" s="3"/>
    </row>
    <row r="19" spans="1:6" ht="15.75" customHeight="1" x14ac:dyDescent="0.15">
      <c r="A19" s="2" t="s">
        <v>154</v>
      </c>
      <c r="B19" s="2"/>
      <c r="C19" s="3">
        <v>3400</v>
      </c>
      <c r="D19" s="8" t="s">
        <v>155</v>
      </c>
      <c r="E19" s="2" t="str">
        <f>A17</f>
        <v>Not Paid</v>
      </c>
      <c r="F19" s="3">
        <f>C33</f>
        <v>11700</v>
      </c>
    </row>
    <row r="20" spans="1:6" ht="15.75" customHeight="1" x14ac:dyDescent="0.15">
      <c r="A20" s="2" t="s">
        <v>156</v>
      </c>
      <c r="B20" s="2"/>
      <c r="C20" s="49">
        <v>1400</v>
      </c>
      <c r="D20" s="8" t="s">
        <v>117</v>
      </c>
      <c r="E20" s="2" t="s">
        <v>148</v>
      </c>
      <c r="F20" s="4"/>
    </row>
    <row r="21" spans="1:6" ht="15.75" customHeight="1" x14ac:dyDescent="0.15">
      <c r="A21" s="2" t="s">
        <v>41</v>
      </c>
      <c r="B21" s="2"/>
      <c r="C21" s="3">
        <v>4300</v>
      </c>
      <c r="D21" s="8" t="s">
        <v>155</v>
      </c>
      <c r="E21" s="2" t="s">
        <v>17</v>
      </c>
      <c r="F21" s="3">
        <f>SUM(F16:F20)</f>
        <v>110700</v>
      </c>
    </row>
    <row r="22" spans="1:6" ht="15.75" customHeight="1" x14ac:dyDescent="0.15">
      <c r="A22" s="2"/>
      <c r="B22" s="2"/>
      <c r="C22" s="3"/>
      <c r="E22" s="8" t="s">
        <v>152</v>
      </c>
      <c r="F22" s="47">
        <f>F11-F21</f>
        <v>-4450</v>
      </c>
    </row>
    <row r="23" spans="1:6" ht="15.75" customHeight="1" x14ac:dyDescent="0.15">
      <c r="A23" s="2"/>
      <c r="B23" s="2"/>
      <c r="C23" s="3"/>
    </row>
    <row r="24" spans="1:6" ht="15.75" customHeight="1" x14ac:dyDescent="0.15">
      <c r="A24" s="2"/>
      <c r="B24" s="2"/>
      <c r="C24" s="3"/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</row>
    <row r="28" spans="1:6" ht="15.75" customHeight="1" x14ac:dyDescent="0.15">
      <c r="A28" s="2"/>
      <c r="B28" s="2"/>
      <c r="C28" s="3"/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11700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2:G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30-6</f>
        <v>24</v>
      </c>
      <c r="C5" s="2">
        <v>450</v>
      </c>
      <c r="D5" s="3">
        <f t="shared" si="0"/>
        <v>10800</v>
      </c>
      <c r="E5" s="2">
        <v>500</v>
      </c>
      <c r="F5" s="3">
        <f t="shared" si="1"/>
        <v>12000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v>48</v>
      </c>
      <c r="C10" s="2">
        <v>300</v>
      </c>
      <c r="D10" s="3">
        <f t="shared" si="0"/>
        <v>14400</v>
      </c>
      <c r="E10" s="2">
        <v>500</v>
      </c>
      <c r="F10" s="3">
        <f t="shared" si="1"/>
        <v>24000</v>
      </c>
    </row>
    <row r="11" spans="1:6" ht="15.75" customHeight="1" x14ac:dyDescent="0.15">
      <c r="D11" s="4">
        <f>SUM(D3:D10)</f>
        <v>85200</v>
      </c>
      <c r="F11" s="4">
        <f>SUM(F3:F10)</f>
        <v>109750</v>
      </c>
    </row>
    <row r="12" spans="1:6" ht="15.75" customHeight="1" x14ac:dyDescent="0.15">
      <c r="E12" s="5" t="s">
        <v>141</v>
      </c>
      <c r="F12" s="6">
        <f>2000+400</f>
        <v>2400</v>
      </c>
    </row>
    <row r="13" spans="1:6" ht="15.75" customHeight="1" x14ac:dyDescent="0.15">
      <c r="E13" s="5" t="s">
        <v>12</v>
      </c>
      <c r="F13" s="6">
        <f>F11-D11-F12</f>
        <v>22150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f>78950+3400+600+2000</f>
        <v>84950</v>
      </c>
    </row>
    <row r="17" spans="1:7" ht="15.75" customHeight="1" x14ac:dyDescent="0.15">
      <c r="A17" s="7" t="s">
        <v>19</v>
      </c>
      <c r="E17" s="2" t="s">
        <v>16</v>
      </c>
      <c r="F17" s="3">
        <v>3000</v>
      </c>
      <c r="G17" s="8" t="s">
        <v>157</v>
      </c>
    </row>
    <row r="18" spans="1:7" ht="15.75" customHeight="1" x14ac:dyDescent="0.15">
      <c r="A18" s="2"/>
      <c r="B18" s="2"/>
      <c r="C18" s="3"/>
      <c r="E18" s="2" t="s">
        <v>151</v>
      </c>
      <c r="F18" s="3"/>
    </row>
    <row r="19" spans="1:7" ht="15.75" customHeight="1" x14ac:dyDescent="0.15">
      <c r="A19" s="2" t="s">
        <v>113</v>
      </c>
      <c r="B19" s="2"/>
      <c r="C19" s="49">
        <v>3500</v>
      </c>
      <c r="D19" s="8" t="s">
        <v>117</v>
      </c>
      <c r="E19" s="2" t="str">
        <f>A17</f>
        <v>Not Paid</v>
      </c>
      <c r="F19" s="3">
        <f>C33</f>
        <v>20000</v>
      </c>
    </row>
    <row r="20" spans="1:7" ht="15.75" customHeight="1" x14ac:dyDescent="0.15">
      <c r="A20" s="2" t="s">
        <v>32</v>
      </c>
      <c r="B20" s="2"/>
      <c r="C20" s="3">
        <v>2900</v>
      </c>
      <c r="D20" s="8" t="s">
        <v>117</v>
      </c>
      <c r="E20" s="2" t="s">
        <v>148</v>
      </c>
      <c r="F20" s="4"/>
    </row>
    <row r="21" spans="1:7" ht="15.75" customHeight="1" x14ac:dyDescent="0.15">
      <c r="A21" s="2" t="s">
        <v>111</v>
      </c>
      <c r="B21" s="2"/>
      <c r="C21" s="49">
        <v>2000</v>
      </c>
      <c r="D21" s="8" t="s">
        <v>158</v>
      </c>
      <c r="E21" s="2" t="s">
        <v>17</v>
      </c>
      <c r="F21" s="3">
        <f>SUM(F16:F20)</f>
        <v>107950</v>
      </c>
    </row>
    <row r="22" spans="1:7" ht="15.75" customHeight="1" x14ac:dyDescent="0.15">
      <c r="A22" s="2" t="s">
        <v>159</v>
      </c>
      <c r="B22" s="2"/>
      <c r="C22" s="3">
        <f>(600*3)+500</f>
        <v>2300</v>
      </c>
      <c r="D22" s="8" t="s">
        <v>155</v>
      </c>
      <c r="E22" s="8" t="s">
        <v>152</v>
      </c>
      <c r="F22" s="47">
        <f>F11-F21</f>
        <v>1800</v>
      </c>
    </row>
    <row r="23" spans="1:7" ht="15.75" customHeight="1" x14ac:dyDescent="0.15">
      <c r="A23" s="2" t="s">
        <v>160</v>
      </c>
      <c r="B23" s="2"/>
      <c r="C23" s="3">
        <v>2200</v>
      </c>
    </row>
    <row r="24" spans="1:7" ht="15.75" customHeight="1" x14ac:dyDescent="0.15">
      <c r="A24" s="2" t="s">
        <v>161</v>
      </c>
      <c r="B24" s="2"/>
      <c r="C24" s="3">
        <v>2900</v>
      </c>
      <c r="D24" s="8" t="s">
        <v>155</v>
      </c>
    </row>
    <row r="25" spans="1:7" ht="15.75" customHeight="1" x14ac:dyDescent="0.15">
      <c r="A25" s="2" t="s">
        <v>162</v>
      </c>
      <c r="B25" s="2"/>
      <c r="C25" s="3">
        <v>2900</v>
      </c>
      <c r="D25" s="8" t="s">
        <v>155</v>
      </c>
    </row>
    <row r="26" spans="1:7" ht="15.75" customHeight="1" x14ac:dyDescent="0.15">
      <c r="A26" s="2" t="s">
        <v>163</v>
      </c>
      <c r="B26" s="2"/>
      <c r="C26" s="3">
        <v>1300</v>
      </c>
      <c r="D26" s="8" t="s">
        <v>164</v>
      </c>
    </row>
    <row r="27" spans="1:7" ht="15.75" customHeight="1" x14ac:dyDescent="0.15">
      <c r="A27" s="2"/>
      <c r="B27" s="2"/>
      <c r="C27" s="3"/>
    </row>
    <row r="28" spans="1:7" ht="15.75" customHeight="1" x14ac:dyDescent="0.15">
      <c r="A28" s="2"/>
      <c r="B28" s="2"/>
      <c r="C28" s="3"/>
    </row>
    <row r="29" spans="1:7" ht="15.75" customHeight="1" x14ac:dyDescent="0.15">
      <c r="A29" s="2"/>
      <c r="B29" s="2"/>
      <c r="C29" s="3"/>
    </row>
    <row r="30" spans="1:7" ht="15.75" customHeight="1" x14ac:dyDescent="0.15">
      <c r="A30" s="2"/>
      <c r="B30" s="2"/>
      <c r="C30" s="3"/>
    </row>
    <row r="31" spans="1:7" ht="15.75" customHeight="1" x14ac:dyDescent="0.15">
      <c r="A31" s="2"/>
      <c r="B31" s="2"/>
      <c r="C31" s="3"/>
    </row>
    <row r="32" spans="1:7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20000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30-6</f>
        <v>24</v>
      </c>
      <c r="C5" s="2">
        <v>450</v>
      </c>
      <c r="D5" s="3">
        <f t="shared" si="0"/>
        <v>10800</v>
      </c>
      <c r="E5" s="2">
        <v>500</v>
      </c>
      <c r="F5" s="3">
        <f t="shared" si="1"/>
        <v>12000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/>
      <c r="C10" s="2">
        <v>300</v>
      </c>
      <c r="D10" s="3">
        <f t="shared" si="0"/>
        <v>0</v>
      </c>
      <c r="E10" s="2">
        <v>500</v>
      </c>
      <c r="F10" s="3">
        <f t="shared" si="1"/>
        <v>0</v>
      </c>
    </row>
    <row r="11" spans="1:6" ht="15.75" customHeight="1" x14ac:dyDescent="0.15">
      <c r="D11" s="4">
        <f>SUM(D3:D10)</f>
        <v>70800</v>
      </c>
      <c r="F11" s="4">
        <f>SUM(F3:F10)</f>
        <v>85750</v>
      </c>
    </row>
    <row r="12" spans="1:6" ht="15.75" customHeight="1" x14ac:dyDescent="0.15">
      <c r="E12" s="5" t="s">
        <v>141</v>
      </c>
      <c r="F12" s="6"/>
    </row>
    <row r="13" spans="1:6" ht="15.75" customHeight="1" x14ac:dyDescent="0.15">
      <c r="E13" s="5" t="s">
        <v>12</v>
      </c>
      <c r="F13" s="6">
        <f>F11-D11-F12</f>
        <v>14950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f>71600</f>
        <v>71600</v>
      </c>
    </row>
    <row r="17" spans="1:6" ht="15.75" customHeight="1" x14ac:dyDescent="0.15">
      <c r="A17" s="7" t="s">
        <v>19</v>
      </c>
      <c r="E17" s="2" t="s">
        <v>33</v>
      </c>
      <c r="F17" s="3">
        <v>8000</v>
      </c>
    </row>
    <row r="18" spans="1:6" ht="15.75" customHeight="1" x14ac:dyDescent="0.15">
      <c r="A18" s="2" t="s">
        <v>113</v>
      </c>
      <c r="B18" s="2"/>
      <c r="C18" s="49">
        <v>3500</v>
      </c>
      <c r="D18" s="8" t="s">
        <v>117</v>
      </c>
      <c r="E18" s="2" t="s">
        <v>151</v>
      </c>
      <c r="F18" s="3"/>
    </row>
    <row r="19" spans="1:6" ht="15.75" customHeight="1" x14ac:dyDescent="0.15">
      <c r="A19" s="2" t="s">
        <v>165</v>
      </c>
      <c r="B19" s="2"/>
      <c r="C19" s="49">
        <v>2300</v>
      </c>
      <c r="D19" s="8" t="s">
        <v>155</v>
      </c>
      <c r="E19" s="2" t="str">
        <f>A17</f>
        <v>Not Paid</v>
      </c>
      <c r="F19" s="3">
        <f>C33</f>
        <v>5800</v>
      </c>
    </row>
    <row r="20" spans="1:6" ht="15.75" customHeight="1" x14ac:dyDescent="0.15">
      <c r="A20" s="2"/>
      <c r="B20" s="2"/>
      <c r="C20" s="3"/>
      <c r="E20" s="2" t="s">
        <v>148</v>
      </c>
      <c r="F20" s="4"/>
    </row>
    <row r="21" spans="1:6" ht="15.75" customHeight="1" x14ac:dyDescent="0.15">
      <c r="A21" s="2"/>
      <c r="B21" s="2"/>
      <c r="C21" s="3"/>
      <c r="E21" s="2" t="s">
        <v>17</v>
      </c>
      <c r="F21" s="3">
        <f>SUM(F16:F20)</f>
        <v>85400</v>
      </c>
    </row>
    <row r="22" spans="1:6" ht="15.75" customHeight="1" x14ac:dyDescent="0.15">
      <c r="A22" s="2"/>
      <c r="B22" s="2"/>
      <c r="C22" s="3"/>
      <c r="E22" s="8" t="s">
        <v>152</v>
      </c>
      <c r="F22" s="47">
        <f>F11-F21</f>
        <v>350</v>
      </c>
    </row>
    <row r="23" spans="1:6" ht="15.75" customHeight="1" x14ac:dyDescent="0.15">
      <c r="A23" s="2"/>
      <c r="B23" s="2"/>
      <c r="C23" s="3"/>
    </row>
    <row r="24" spans="1:6" ht="15.75" customHeight="1" x14ac:dyDescent="0.15">
      <c r="A24" s="2"/>
      <c r="B24" s="2"/>
      <c r="C24" s="3"/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</row>
    <row r="28" spans="1:6" ht="15.75" customHeight="1" x14ac:dyDescent="0.15">
      <c r="A28" s="2"/>
      <c r="B28" s="2"/>
      <c r="C28" s="3"/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5800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</f>
        <v>30</v>
      </c>
      <c r="C5" s="2">
        <v>450</v>
      </c>
      <c r="D5" s="3">
        <f t="shared" si="0"/>
        <v>13500</v>
      </c>
      <c r="E5" s="2">
        <v>500</v>
      </c>
      <c r="F5" s="3">
        <f t="shared" si="1"/>
        <v>15000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v>60</v>
      </c>
      <c r="C10" s="2">
        <v>300</v>
      </c>
      <c r="D10" s="3">
        <f t="shared" si="0"/>
        <v>18000</v>
      </c>
      <c r="E10" s="2">
        <v>500</v>
      </c>
      <c r="F10" s="3">
        <f t="shared" si="1"/>
        <v>30000</v>
      </c>
    </row>
    <row r="11" spans="1:6" ht="15.75" customHeight="1" x14ac:dyDescent="0.15">
      <c r="D11" s="4">
        <f>SUM(D3:D10)</f>
        <v>91500</v>
      </c>
      <c r="F11" s="4">
        <f>SUM(F3:F10)</f>
        <v>118750</v>
      </c>
    </row>
    <row r="12" spans="1:6" ht="15.75" customHeight="1" x14ac:dyDescent="0.15">
      <c r="E12" s="5" t="s">
        <v>141</v>
      </c>
      <c r="F12" s="6"/>
    </row>
    <row r="13" spans="1:6" ht="15.75" customHeight="1" x14ac:dyDescent="0.15">
      <c r="E13" s="5" t="s">
        <v>12</v>
      </c>
      <c r="F13" s="6">
        <f>F11-D11-F12</f>
        <v>27250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f>104000</f>
        <v>104000</v>
      </c>
    </row>
    <row r="17" spans="1:6" ht="15.75" customHeight="1" x14ac:dyDescent="0.15">
      <c r="A17" s="7" t="s">
        <v>19</v>
      </c>
      <c r="E17" s="2" t="s">
        <v>33</v>
      </c>
      <c r="F17" s="3">
        <v>5500</v>
      </c>
    </row>
    <row r="18" spans="1:6" ht="15.75" customHeight="1" x14ac:dyDescent="0.15">
      <c r="A18" s="2" t="s">
        <v>32</v>
      </c>
      <c r="B18" s="2"/>
      <c r="C18" s="3">
        <v>2700</v>
      </c>
      <c r="D18" s="8" t="s">
        <v>117</v>
      </c>
      <c r="E18" s="2" t="s">
        <v>116</v>
      </c>
      <c r="F18" s="3">
        <f>500*5</f>
        <v>2500</v>
      </c>
    </row>
    <row r="19" spans="1:6" ht="15.75" customHeight="1" x14ac:dyDescent="0.15">
      <c r="A19" s="2" t="s">
        <v>111</v>
      </c>
      <c r="B19" s="2"/>
      <c r="C19" s="3">
        <v>1300</v>
      </c>
      <c r="D19" s="8" t="s">
        <v>158</v>
      </c>
      <c r="E19" s="2" t="s">
        <v>151</v>
      </c>
      <c r="F19" s="3"/>
    </row>
    <row r="20" spans="1:6" ht="15.75" customHeight="1" x14ac:dyDescent="0.15">
      <c r="A20" s="2" t="s">
        <v>166</v>
      </c>
      <c r="B20" s="2"/>
      <c r="C20" s="3">
        <v>1500</v>
      </c>
      <c r="E20" s="2" t="str">
        <f>A17</f>
        <v>Not Paid</v>
      </c>
      <c r="F20" s="3">
        <f>C33</f>
        <v>5500</v>
      </c>
    </row>
    <row r="21" spans="1:6" ht="15.75" customHeight="1" x14ac:dyDescent="0.15">
      <c r="A21" s="2"/>
      <c r="B21" s="2"/>
      <c r="C21" s="3"/>
      <c r="E21" s="2" t="s">
        <v>148</v>
      </c>
      <c r="F21" s="4"/>
    </row>
    <row r="22" spans="1:6" ht="15.75" customHeight="1" x14ac:dyDescent="0.15">
      <c r="A22" s="2"/>
      <c r="B22" s="2"/>
      <c r="C22" s="3"/>
      <c r="E22" s="2" t="s">
        <v>17</v>
      </c>
      <c r="F22" s="3">
        <f>SUM(F16:F21)</f>
        <v>117500</v>
      </c>
    </row>
    <row r="23" spans="1:6" ht="15.75" customHeight="1" x14ac:dyDescent="0.15">
      <c r="A23" s="2"/>
      <c r="B23" s="2"/>
      <c r="C23" s="3"/>
      <c r="E23" s="8" t="s">
        <v>152</v>
      </c>
      <c r="F23" s="47">
        <f>F11-F22</f>
        <v>1250</v>
      </c>
    </row>
    <row r="24" spans="1:6" ht="15.75" customHeight="1" x14ac:dyDescent="0.15">
      <c r="A24" s="2"/>
      <c r="B24" s="2"/>
      <c r="C24" s="3"/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</row>
    <row r="28" spans="1:6" ht="15.75" customHeight="1" x14ac:dyDescent="0.15">
      <c r="A28" s="2"/>
      <c r="B28" s="2"/>
      <c r="C28" s="3"/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3" ht="15.75" customHeight="1" x14ac:dyDescent="0.15">
      <c r="A33" s="2"/>
      <c r="B33" s="2"/>
      <c r="C33" s="3">
        <f>SUM(C18:C32)</f>
        <v>5500</v>
      </c>
    </row>
    <row r="34" spans="1:3" ht="15.75" customHeight="1" x14ac:dyDescent="0.15">
      <c r="C34" s="46"/>
    </row>
    <row r="39" spans="1:3" ht="15.75" customHeight="1" x14ac:dyDescent="0.15">
      <c r="B39" s="7"/>
    </row>
    <row r="42" spans="1:3" ht="15.75" customHeight="1" x14ac:dyDescent="0.15">
      <c r="B42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2:F42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</f>
        <v>30</v>
      </c>
      <c r="C5" s="2">
        <v>450</v>
      </c>
      <c r="D5" s="3">
        <f t="shared" si="0"/>
        <v>13500</v>
      </c>
      <c r="E5" s="2">
        <v>500</v>
      </c>
      <c r="F5" s="3">
        <f t="shared" si="1"/>
        <v>15000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v>60</v>
      </c>
      <c r="C10" s="2">
        <v>300</v>
      </c>
      <c r="D10" s="3">
        <f t="shared" si="0"/>
        <v>18000</v>
      </c>
      <c r="E10" s="2">
        <v>500</v>
      </c>
      <c r="F10" s="3">
        <f t="shared" si="1"/>
        <v>30000</v>
      </c>
    </row>
    <row r="11" spans="1:6" ht="15.75" customHeight="1" x14ac:dyDescent="0.15">
      <c r="D11" s="4">
        <f>SUM(D3:D10)</f>
        <v>91500</v>
      </c>
      <c r="F11" s="4">
        <f>SUM(F3:F10)</f>
        <v>118750</v>
      </c>
    </row>
    <row r="12" spans="1:6" ht="15.75" customHeight="1" x14ac:dyDescent="0.15">
      <c r="E12" s="5" t="s">
        <v>141</v>
      </c>
      <c r="F12" s="6"/>
    </row>
    <row r="13" spans="1:6" ht="15.75" customHeight="1" x14ac:dyDescent="0.15">
      <c r="E13" s="5" t="s">
        <v>12</v>
      </c>
      <c r="F13" s="6">
        <f>F11-D11-F12</f>
        <v>27250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v>86100</v>
      </c>
    </row>
    <row r="17" spans="1:6" ht="15.75" customHeight="1" x14ac:dyDescent="0.15">
      <c r="A17" s="7" t="s">
        <v>19</v>
      </c>
      <c r="E17" s="2" t="s">
        <v>167</v>
      </c>
      <c r="F17" s="3"/>
    </row>
    <row r="18" spans="1:6" ht="15.75" customHeight="1" x14ac:dyDescent="0.15">
      <c r="A18" s="2" t="s">
        <v>32</v>
      </c>
      <c r="B18" s="2"/>
      <c r="C18" s="3">
        <v>1000</v>
      </c>
      <c r="D18" s="8" t="s">
        <v>117</v>
      </c>
      <c r="E18" s="2" t="s">
        <v>116</v>
      </c>
      <c r="F18" s="3">
        <f>500*7</f>
        <v>3500</v>
      </c>
    </row>
    <row r="19" spans="1:6" ht="15.75" customHeight="1" x14ac:dyDescent="0.15">
      <c r="A19" s="2" t="s">
        <v>111</v>
      </c>
      <c r="B19" s="2"/>
      <c r="C19" s="3">
        <v>2100</v>
      </c>
      <c r="D19" s="8" t="s">
        <v>158</v>
      </c>
      <c r="E19" s="2" t="s">
        <v>168</v>
      </c>
      <c r="F19" s="3">
        <v>2100</v>
      </c>
    </row>
    <row r="20" spans="1:6" ht="15.75" customHeight="1" x14ac:dyDescent="0.15">
      <c r="A20" s="2" t="s">
        <v>37</v>
      </c>
      <c r="B20" s="2"/>
      <c r="C20" s="3">
        <v>3300</v>
      </c>
      <c r="E20" s="2" t="str">
        <f>A17</f>
        <v>Not Paid</v>
      </c>
      <c r="F20" s="3">
        <f>C33</f>
        <v>29000</v>
      </c>
    </row>
    <row r="21" spans="1:6" ht="15.75" customHeight="1" x14ac:dyDescent="0.15">
      <c r="A21" s="2" t="s">
        <v>169</v>
      </c>
      <c r="B21" s="2"/>
      <c r="C21" s="3">
        <v>500</v>
      </c>
      <c r="E21" s="2"/>
      <c r="F21" s="4"/>
    </row>
    <row r="22" spans="1:6" ht="15.75" customHeight="1" x14ac:dyDescent="0.15">
      <c r="A22" s="2" t="s">
        <v>154</v>
      </c>
      <c r="B22" s="2"/>
      <c r="C22" s="3">
        <v>3000</v>
      </c>
      <c r="D22" s="8" t="s">
        <v>117</v>
      </c>
      <c r="E22" s="2" t="s">
        <v>17</v>
      </c>
      <c r="F22" s="3">
        <f>SUM(F16:F21)</f>
        <v>120700</v>
      </c>
    </row>
    <row r="23" spans="1:6" ht="15.75" customHeight="1" x14ac:dyDescent="0.15">
      <c r="A23" s="2" t="s">
        <v>170</v>
      </c>
      <c r="B23" s="2"/>
      <c r="C23" s="3">
        <v>3500</v>
      </c>
      <c r="D23" s="8" t="s">
        <v>117</v>
      </c>
      <c r="E23" s="8" t="s">
        <v>152</v>
      </c>
      <c r="F23" s="47">
        <f>F11-F22</f>
        <v>-1950</v>
      </c>
    </row>
    <row r="24" spans="1:6" ht="15.75" customHeight="1" x14ac:dyDescent="0.15">
      <c r="A24" s="2" t="s">
        <v>113</v>
      </c>
      <c r="B24" s="2"/>
      <c r="C24" s="3">
        <v>5000</v>
      </c>
      <c r="D24" s="8" t="s">
        <v>117</v>
      </c>
    </row>
    <row r="25" spans="1:6" ht="15.75" customHeight="1" x14ac:dyDescent="0.15">
      <c r="A25" s="2" t="s">
        <v>28</v>
      </c>
      <c r="B25" s="2"/>
      <c r="C25" s="3">
        <v>2000</v>
      </c>
      <c r="D25" s="8" t="s">
        <v>117</v>
      </c>
    </row>
    <row r="26" spans="1:6" ht="15.75" customHeight="1" x14ac:dyDescent="0.15">
      <c r="A26" s="2" t="s">
        <v>171</v>
      </c>
      <c r="B26" s="2"/>
      <c r="C26" s="3">
        <v>3300</v>
      </c>
      <c r="D26" s="8" t="s">
        <v>117</v>
      </c>
    </row>
    <row r="27" spans="1:6" ht="15.75" customHeight="1" x14ac:dyDescent="0.15">
      <c r="A27" s="2" t="s">
        <v>38</v>
      </c>
      <c r="B27" s="2"/>
      <c r="C27" s="3">
        <v>2300</v>
      </c>
      <c r="D27" s="8" t="s">
        <v>117</v>
      </c>
    </row>
    <row r="28" spans="1:6" ht="15.75" customHeight="1" x14ac:dyDescent="0.15">
      <c r="A28" s="2" t="s">
        <v>172</v>
      </c>
      <c r="B28" s="2"/>
      <c r="C28" s="3">
        <v>3000</v>
      </c>
      <c r="D28" s="8" t="s">
        <v>117</v>
      </c>
    </row>
    <row r="29" spans="1:6" ht="15.75" customHeight="1" x14ac:dyDescent="0.15">
      <c r="A29" s="2"/>
      <c r="B29" s="2"/>
      <c r="C29" s="3"/>
    </row>
    <row r="30" spans="1:6" ht="15.75" customHeight="1" x14ac:dyDescent="0.15">
      <c r="A30" s="2"/>
      <c r="B30" s="2"/>
      <c r="C30" s="3"/>
    </row>
    <row r="31" spans="1:6" ht="15.75" customHeight="1" x14ac:dyDescent="0.15">
      <c r="A31" s="2"/>
      <c r="B31" s="2"/>
      <c r="C31" s="3"/>
    </row>
    <row r="32" spans="1:6" ht="15.75" customHeight="1" x14ac:dyDescent="0.15">
      <c r="A32" s="2"/>
      <c r="B32" s="2"/>
      <c r="C32" s="3"/>
    </row>
    <row r="33" spans="1:6" ht="15.75" customHeight="1" x14ac:dyDescent="0.15">
      <c r="A33" s="2"/>
      <c r="B33" s="2"/>
      <c r="C33" s="3">
        <f>SUM(C18:C32)</f>
        <v>29000</v>
      </c>
    </row>
    <row r="34" spans="1:6" ht="15.75" customHeight="1" x14ac:dyDescent="0.15">
      <c r="C34" s="46"/>
    </row>
    <row r="37" spans="1:6" ht="15.75" customHeight="1" x14ac:dyDescent="0.15">
      <c r="F37" s="8">
        <v>89100</v>
      </c>
    </row>
    <row r="39" spans="1:6" ht="15.75" customHeight="1" x14ac:dyDescent="0.15">
      <c r="B39" s="7"/>
    </row>
    <row r="42" spans="1:6" ht="15.75" customHeight="1" x14ac:dyDescent="0.15">
      <c r="B42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2:F34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0" si="0">B3*C3</f>
        <v>10000</v>
      </c>
      <c r="E3" s="2">
        <v>450</v>
      </c>
      <c r="F3" s="3">
        <f t="shared" ref="F3:F10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</f>
        <v>30</v>
      </c>
      <c r="C5" s="2">
        <v>450</v>
      </c>
      <c r="D5" s="3">
        <f t="shared" si="0"/>
        <v>13500</v>
      </c>
      <c r="E5" s="2">
        <v>500</v>
      </c>
      <c r="F5" s="3">
        <f t="shared" si="1"/>
        <v>15000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11</v>
      </c>
      <c r="B10" s="2">
        <v>48</v>
      </c>
      <c r="C10" s="2">
        <v>300</v>
      </c>
      <c r="D10" s="3">
        <f t="shared" si="0"/>
        <v>14400</v>
      </c>
      <c r="E10" s="2">
        <v>500</v>
      </c>
      <c r="F10" s="3">
        <f t="shared" si="1"/>
        <v>24000</v>
      </c>
    </row>
    <row r="11" spans="1:6" ht="15.75" customHeight="1" x14ac:dyDescent="0.15">
      <c r="D11" s="4">
        <f>SUM(D3:D10)</f>
        <v>87900</v>
      </c>
      <c r="F11" s="4">
        <f>SUM(F3:F10)</f>
        <v>112750</v>
      </c>
    </row>
    <row r="12" spans="1:6" ht="15.75" customHeight="1" x14ac:dyDescent="0.15">
      <c r="E12" s="5" t="s">
        <v>141</v>
      </c>
      <c r="F12" s="6">
        <f>2600+(540*2)</f>
        <v>3680</v>
      </c>
    </row>
    <row r="13" spans="1:6" ht="15.75" customHeight="1" x14ac:dyDescent="0.15">
      <c r="E13" s="5" t="s">
        <v>12</v>
      </c>
      <c r="F13" s="6">
        <f>F11-D11-F12</f>
        <v>21170</v>
      </c>
    </row>
    <row r="14" spans="1:6" ht="15.75" customHeight="1" x14ac:dyDescent="0.15">
      <c r="E14" s="7"/>
    </row>
    <row r="15" spans="1:6" ht="15.75" customHeight="1" x14ac:dyDescent="0.15">
      <c r="E15" s="7" t="s">
        <v>13</v>
      </c>
    </row>
    <row r="16" spans="1:6" ht="15.75" customHeight="1" x14ac:dyDescent="0.15">
      <c r="E16" s="2" t="s">
        <v>14</v>
      </c>
      <c r="F16" s="3">
        <f>87500+2400</f>
        <v>89900</v>
      </c>
    </row>
    <row r="17" spans="1:6" ht="15.75" customHeight="1" x14ac:dyDescent="0.15">
      <c r="A17" s="7" t="s">
        <v>19</v>
      </c>
      <c r="E17" s="2" t="s">
        <v>167</v>
      </c>
      <c r="F17" s="3">
        <v>3300</v>
      </c>
    </row>
    <row r="18" spans="1:6" ht="15.75" customHeight="1" x14ac:dyDescent="0.15">
      <c r="A18" s="2" t="s">
        <v>32</v>
      </c>
      <c r="B18" s="2"/>
      <c r="C18" s="3">
        <v>4000</v>
      </c>
      <c r="D18" s="8" t="s">
        <v>117</v>
      </c>
      <c r="E18" s="2" t="s">
        <v>116</v>
      </c>
      <c r="F18" s="3">
        <f>500*11</f>
        <v>5500</v>
      </c>
    </row>
    <row r="19" spans="1:6" ht="15.75" customHeight="1" x14ac:dyDescent="0.15">
      <c r="A19" s="2" t="s">
        <v>111</v>
      </c>
      <c r="B19" s="2"/>
      <c r="C19" s="3">
        <v>3100</v>
      </c>
      <c r="D19" s="8" t="s">
        <v>158</v>
      </c>
      <c r="E19" s="2" t="s">
        <v>168</v>
      </c>
      <c r="F19" s="3"/>
    </row>
    <row r="20" spans="1:6" ht="15.75" customHeight="1" x14ac:dyDescent="0.15">
      <c r="A20" s="2" t="s">
        <v>37</v>
      </c>
      <c r="B20" s="2"/>
      <c r="C20" s="3">
        <v>1200</v>
      </c>
      <c r="E20" s="2" t="str">
        <f>A17</f>
        <v>Not Paid</v>
      </c>
      <c r="F20" s="3">
        <f>C25</f>
        <v>13500</v>
      </c>
    </row>
    <row r="21" spans="1:6" ht="15.75" customHeight="1" x14ac:dyDescent="0.15">
      <c r="A21" s="2" t="s">
        <v>118</v>
      </c>
      <c r="B21" s="2"/>
      <c r="C21" s="3">
        <v>2100</v>
      </c>
      <c r="E21" s="2"/>
      <c r="F21" s="4"/>
    </row>
    <row r="22" spans="1:6" ht="15.75" customHeight="1" x14ac:dyDescent="0.15">
      <c r="A22" s="2" t="s">
        <v>173</v>
      </c>
      <c r="B22" s="2"/>
      <c r="C22" s="3">
        <v>1100</v>
      </c>
      <c r="E22" s="2" t="s">
        <v>17</v>
      </c>
      <c r="F22" s="3">
        <f>SUM(F16:F21)</f>
        <v>112200</v>
      </c>
    </row>
    <row r="23" spans="1:6" ht="15.75" customHeight="1" x14ac:dyDescent="0.15">
      <c r="A23" s="2" t="s">
        <v>113</v>
      </c>
      <c r="B23" s="2"/>
      <c r="C23" s="3">
        <v>2000</v>
      </c>
      <c r="E23" s="8" t="s">
        <v>152</v>
      </c>
      <c r="F23" s="47">
        <f>F11-F22</f>
        <v>550</v>
      </c>
    </row>
    <row r="24" spans="1:6" ht="15.75" customHeight="1" x14ac:dyDescent="0.15">
      <c r="A24" s="2"/>
      <c r="B24" s="2"/>
      <c r="C24" s="3"/>
    </row>
    <row r="25" spans="1:6" ht="15.75" customHeight="1" x14ac:dyDescent="0.15">
      <c r="A25" s="2"/>
      <c r="B25" s="2"/>
      <c r="C25" s="3">
        <f>SUM(C18:C24)</f>
        <v>13500</v>
      </c>
    </row>
    <row r="26" spans="1:6" ht="15.75" customHeight="1" x14ac:dyDescent="0.15">
      <c r="C26" s="46"/>
    </row>
    <row r="31" spans="1:6" ht="15.75" customHeight="1" x14ac:dyDescent="0.15">
      <c r="B31" s="7"/>
    </row>
    <row r="34" spans="2:2" ht="15.75" customHeight="1" x14ac:dyDescent="0.15">
      <c r="B34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2:F35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4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400</v>
      </c>
      <c r="D3" s="3">
        <f t="shared" ref="D3:D11" si="0">B3*C3</f>
        <v>10000</v>
      </c>
      <c r="E3" s="2">
        <v>450</v>
      </c>
      <c r="F3" s="3">
        <f t="shared" ref="F3:F11" si="1">B3*E3</f>
        <v>11250</v>
      </c>
    </row>
    <row r="4" spans="1:6" ht="15.75" customHeight="1" x14ac:dyDescent="0.15">
      <c r="A4" s="2" t="s">
        <v>6</v>
      </c>
      <c r="B4" s="2">
        <v>25</v>
      </c>
      <c r="C4" s="2">
        <v>500</v>
      </c>
      <c r="D4" s="3">
        <f t="shared" si="0"/>
        <v>12500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f>30</f>
        <v>30</v>
      </c>
      <c r="C5" s="2">
        <v>450</v>
      </c>
      <c r="D5" s="3">
        <f t="shared" si="0"/>
        <v>13500</v>
      </c>
      <c r="E5" s="2">
        <v>500</v>
      </c>
      <c r="F5" s="3">
        <f t="shared" si="1"/>
        <v>15000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20</v>
      </c>
      <c r="C7" s="2">
        <v>800</v>
      </c>
      <c r="D7" s="3">
        <f t="shared" si="0"/>
        <v>16000</v>
      </c>
      <c r="E7" s="2">
        <v>1000</v>
      </c>
      <c r="F7" s="3">
        <f t="shared" si="1"/>
        <v>20000</v>
      </c>
    </row>
    <row r="8" spans="1:6" ht="15.75" customHeight="1" x14ac:dyDescent="0.15">
      <c r="A8" s="2" t="s">
        <v>10</v>
      </c>
      <c r="B8" s="2">
        <v>20</v>
      </c>
      <c r="C8" s="2">
        <v>700</v>
      </c>
      <c r="D8" s="3">
        <f t="shared" si="0"/>
        <v>14000</v>
      </c>
      <c r="E8" s="2">
        <v>800</v>
      </c>
      <c r="F8" s="3">
        <f t="shared" si="1"/>
        <v>16000</v>
      </c>
    </row>
    <row r="9" spans="1:6" ht="15.75" customHeight="1" x14ac:dyDescent="0.15">
      <c r="A9" s="2" t="s">
        <v>124</v>
      </c>
      <c r="B9" s="2">
        <v>15</v>
      </c>
      <c r="C9" s="2">
        <f>3500/7</f>
        <v>500</v>
      </c>
      <c r="D9" s="3">
        <f t="shared" si="0"/>
        <v>7500</v>
      </c>
      <c r="E9" s="2">
        <v>600</v>
      </c>
      <c r="F9" s="3">
        <f t="shared" si="1"/>
        <v>9000</v>
      </c>
    </row>
    <row r="10" spans="1:6" ht="15.75" customHeight="1" x14ac:dyDescent="0.15">
      <c r="A10" s="2" t="s">
        <v>174</v>
      </c>
      <c r="B10" s="2">
        <v>12</v>
      </c>
      <c r="C10" s="2">
        <v>500</v>
      </c>
      <c r="D10" s="3">
        <f t="shared" si="0"/>
        <v>6000</v>
      </c>
      <c r="E10" s="2">
        <v>700</v>
      </c>
      <c r="F10" s="3">
        <f t="shared" si="1"/>
        <v>8400</v>
      </c>
    </row>
    <row r="11" spans="1:6" ht="15.75" customHeight="1" x14ac:dyDescent="0.15">
      <c r="A11" s="2" t="s">
        <v>11</v>
      </c>
      <c r="B11" s="2">
        <v>48</v>
      </c>
      <c r="C11" s="2">
        <v>300</v>
      </c>
      <c r="D11" s="3">
        <f t="shared" si="0"/>
        <v>14400</v>
      </c>
      <c r="E11" s="2">
        <v>500</v>
      </c>
      <c r="F11" s="3">
        <f t="shared" si="1"/>
        <v>24000</v>
      </c>
    </row>
    <row r="12" spans="1:6" ht="15.75" customHeight="1" x14ac:dyDescent="0.15">
      <c r="D12" s="4">
        <f>SUM(D3:D11)</f>
        <v>93900</v>
      </c>
      <c r="F12" s="4">
        <f>SUM(F3:F11)</f>
        <v>121150</v>
      </c>
    </row>
    <row r="13" spans="1:6" ht="15.75" customHeight="1" x14ac:dyDescent="0.15">
      <c r="E13" s="5" t="s">
        <v>141</v>
      </c>
      <c r="F13" s="6">
        <f>3600+3800</f>
        <v>7400</v>
      </c>
    </row>
    <row r="14" spans="1:6" ht="15.75" customHeight="1" x14ac:dyDescent="0.15">
      <c r="E14" s="5" t="s">
        <v>12</v>
      </c>
      <c r="F14" s="6">
        <f>F12-D12-F13</f>
        <v>19850</v>
      </c>
    </row>
    <row r="15" spans="1:6" ht="15.75" customHeight="1" x14ac:dyDescent="0.15">
      <c r="E15" s="7"/>
    </row>
    <row r="16" spans="1:6" ht="15.75" customHeight="1" x14ac:dyDescent="0.15">
      <c r="E16" s="7" t="s">
        <v>13</v>
      </c>
    </row>
    <row r="17" spans="1:6" ht="15.75" customHeight="1" x14ac:dyDescent="0.15">
      <c r="E17" s="2" t="s">
        <v>14</v>
      </c>
      <c r="F17" s="3">
        <v>104000</v>
      </c>
    </row>
    <row r="18" spans="1:6" ht="15.75" customHeight="1" x14ac:dyDescent="0.15">
      <c r="A18" s="7" t="s">
        <v>19</v>
      </c>
      <c r="E18" s="2" t="s">
        <v>167</v>
      </c>
      <c r="F18" s="3">
        <v>9000</v>
      </c>
    </row>
    <row r="19" spans="1:6" ht="15.75" customHeight="1" x14ac:dyDescent="0.15">
      <c r="A19" s="2" t="s">
        <v>113</v>
      </c>
      <c r="B19" s="2"/>
      <c r="C19" s="49">
        <v>4500</v>
      </c>
      <c r="D19" s="8" t="s">
        <v>155</v>
      </c>
      <c r="E19" s="2" t="s">
        <v>116</v>
      </c>
      <c r="F19" s="3">
        <f>500*8</f>
        <v>4000</v>
      </c>
    </row>
    <row r="20" spans="1:6" ht="15.75" customHeight="1" x14ac:dyDescent="0.15">
      <c r="A20" s="2"/>
      <c r="B20" s="2"/>
      <c r="C20" s="3"/>
      <c r="E20" s="2" t="s">
        <v>175</v>
      </c>
      <c r="F20" s="3">
        <v>700</v>
      </c>
    </row>
    <row r="21" spans="1:6" ht="15.75" customHeight="1" x14ac:dyDescent="0.15">
      <c r="A21" s="2"/>
      <c r="B21" s="2"/>
      <c r="C21" s="3"/>
      <c r="E21" s="2" t="str">
        <f>A18</f>
        <v>Not Paid</v>
      </c>
      <c r="F21" s="3">
        <f>C26</f>
        <v>4500</v>
      </c>
    </row>
    <row r="22" spans="1:6" ht="15.75" customHeight="1" x14ac:dyDescent="0.15">
      <c r="A22" s="2"/>
      <c r="B22" s="2"/>
      <c r="C22" s="3"/>
      <c r="E22" s="2"/>
      <c r="F22" s="4"/>
    </row>
    <row r="23" spans="1:6" ht="15.75" customHeight="1" x14ac:dyDescent="0.15">
      <c r="A23" s="2"/>
      <c r="B23" s="2"/>
      <c r="C23" s="3"/>
      <c r="E23" s="2" t="s">
        <v>17</v>
      </c>
      <c r="F23" s="3">
        <f>SUM(F17:F22)</f>
        <v>122200</v>
      </c>
    </row>
    <row r="24" spans="1:6" ht="15.75" customHeight="1" x14ac:dyDescent="0.15">
      <c r="A24" s="2"/>
      <c r="B24" s="2"/>
      <c r="C24" s="3"/>
      <c r="E24" s="8" t="s">
        <v>152</v>
      </c>
      <c r="F24" s="47">
        <f>F12-F23</f>
        <v>-1050</v>
      </c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>
        <f>SUM(C19:C25)</f>
        <v>4500</v>
      </c>
    </row>
    <row r="27" spans="1:6" ht="15.75" customHeight="1" x14ac:dyDescent="0.15">
      <c r="C27" s="46"/>
    </row>
    <row r="32" spans="1:6" ht="15.75" customHeight="1" x14ac:dyDescent="0.15">
      <c r="B32" s="7"/>
    </row>
    <row r="35" spans="2:2" ht="15.75" customHeight="1" x14ac:dyDescent="0.15">
      <c r="B35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F35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6.6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1" si="0">B3*C3</f>
        <v>12500</v>
      </c>
      <c r="E3" s="2">
        <v>600</v>
      </c>
      <c r="F3" s="3">
        <f t="shared" ref="F3:F11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/>
      <c r="C6" s="2">
        <v>900</v>
      </c>
      <c r="D6" s="3">
        <f t="shared" si="0"/>
        <v>0</v>
      </c>
      <c r="E6" s="2">
        <v>1000</v>
      </c>
      <c r="F6" s="3">
        <f t="shared" si="1"/>
        <v>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174</v>
      </c>
      <c r="B10" s="2">
        <v>12</v>
      </c>
      <c r="C10" s="2">
        <v>500</v>
      </c>
      <c r="D10" s="3">
        <f t="shared" si="0"/>
        <v>6000</v>
      </c>
      <c r="E10" s="2">
        <v>700</v>
      </c>
      <c r="F10" s="3">
        <f t="shared" si="1"/>
        <v>8400</v>
      </c>
    </row>
    <row r="11" spans="1:6" ht="15.75" customHeight="1" x14ac:dyDescent="0.15">
      <c r="A11" s="2" t="s">
        <v>11</v>
      </c>
      <c r="B11" s="2">
        <v>48</v>
      </c>
      <c r="C11" s="2">
        <v>300</v>
      </c>
      <c r="D11" s="3">
        <f t="shared" si="0"/>
        <v>14400</v>
      </c>
      <c r="E11" s="2">
        <v>500</v>
      </c>
      <c r="F11" s="3">
        <f t="shared" si="1"/>
        <v>24000</v>
      </c>
    </row>
    <row r="12" spans="1:6" ht="15.75" customHeight="1" x14ac:dyDescent="0.15">
      <c r="D12" s="4">
        <f>SUM(D3:D11)</f>
        <v>102900</v>
      </c>
      <c r="F12" s="4">
        <f>SUM(F3:F11)</f>
        <v>130900</v>
      </c>
    </row>
    <row r="13" spans="1:6" ht="15.75" customHeight="1" x14ac:dyDescent="0.15">
      <c r="E13" s="5" t="s">
        <v>141</v>
      </c>
      <c r="F13" s="6">
        <f>3500</f>
        <v>3500</v>
      </c>
    </row>
    <row r="14" spans="1:6" ht="15.75" customHeight="1" x14ac:dyDescent="0.15">
      <c r="E14" s="5" t="s">
        <v>12</v>
      </c>
      <c r="F14" s="6">
        <f>F12-D12-F13</f>
        <v>24500</v>
      </c>
    </row>
    <row r="15" spans="1:6" ht="15.75" customHeight="1" x14ac:dyDescent="0.15">
      <c r="E15" s="7"/>
    </row>
    <row r="16" spans="1:6" ht="15.75" customHeight="1" x14ac:dyDescent="0.15">
      <c r="E16" s="7" t="s">
        <v>13</v>
      </c>
    </row>
    <row r="17" spans="1:6" ht="15.75" customHeight="1" x14ac:dyDescent="0.15">
      <c r="E17" s="2" t="s">
        <v>14</v>
      </c>
      <c r="F17" s="3">
        <v>106000</v>
      </c>
    </row>
    <row r="18" spans="1:6" ht="15.75" customHeight="1" x14ac:dyDescent="0.15">
      <c r="A18" s="7" t="s">
        <v>19</v>
      </c>
      <c r="E18" s="2" t="s">
        <v>167</v>
      </c>
      <c r="F18" s="3">
        <v>2700</v>
      </c>
    </row>
    <row r="19" spans="1:6" ht="15.75" customHeight="1" x14ac:dyDescent="0.15">
      <c r="A19" s="2" t="s">
        <v>176</v>
      </c>
      <c r="B19" s="2"/>
      <c r="C19" s="3">
        <v>1400</v>
      </c>
      <c r="E19" s="2" t="s">
        <v>116</v>
      </c>
      <c r="F19" s="3">
        <f>700*11</f>
        <v>7700</v>
      </c>
    </row>
    <row r="20" spans="1:6" ht="15.75" customHeight="1" x14ac:dyDescent="0.15">
      <c r="A20" s="2" t="s">
        <v>160</v>
      </c>
      <c r="B20" s="2"/>
      <c r="C20" s="3">
        <v>2600</v>
      </c>
      <c r="E20" s="2" t="s">
        <v>175</v>
      </c>
      <c r="F20" s="3">
        <v>700</v>
      </c>
    </row>
    <row r="21" spans="1:6" ht="15.75" customHeight="1" x14ac:dyDescent="0.15">
      <c r="A21" s="2" t="s">
        <v>177</v>
      </c>
      <c r="B21" s="2"/>
      <c r="C21" s="3">
        <v>2400</v>
      </c>
      <c r="E21" s="2" t="str">
        <f>A18</f>
        <v>Not Paid</v>
      </c>
      <c r="F21" s="3">
        <f>C26</f>
        <v>8800</v>
      </c>
    </row>
    <row r="22" spans="1:6" ht="15.75" customHeight="1" x14ac:dyDescent="0.15">
      <c r="A22" s="2" t="s">
        <v>178</v>
      </c>
      <c r="B22" s="2"/>
      <c r="C22" s="3">
        <v>700</v>
      </c>
      <c r="E22" s="2" t="s">
        <v>179</v>
      </c>
      <c r="F22" s="4">
        <v>700</v>
      </c>
    </row>
    <row r="23" spans="1:6" ht="15.75" customHeight="1" x14ac:dyDescent="0.15">
      <c r="A23" s="2" t="s">
        <v>37</v>
      </c>
      <c r="B23" s="2"/>
      <c r="C23" s="3">
        <v>1700</v>
      </c>
      <c r="E23" s="2" t="s">
        <v>17</v>
      </c>
      <c r="F23" s="3">
        <f>SUM(F17:F22)</f>
        <v>126600</v>
      </c>
    </row>
    <row r="24" spans="1:6" ht="15.75" customHeight="1" x14ac:dyDescent="0.15">
      <c r="A24" s="2"/>
      <c r="B24" s="2"/>
      <c r="C24" s="3"/>
      <c r="E24" s="8" t="s">
        <v>152</v>
      </c>
      <c r="F24" s="47">
        <f>F12-F23</f>
        <v>4300</v>
      </c>
    </row>
    <row r="25" spans="1:6" ht="15.75" customHeight="1" x14ac:dyDescent="0.15">
      <c r="A25" s="2"/>
      <c r="B25" s="2"/>
      <c r="C25" s="3"/>
    </row>
    <row r="26" spans="1:6" ht="15.75" customHeight="1" x14ac:dyDescent="0.15">
      <c r="A26" s="2"/>
      <c r="B26" s="2"/>
      <c r="C26" s="3">
        <f>SUM(C19:C25)</f>
        <v>8800</v>
      </c>
    </row>
    <row r="27" spans="1:6" ht="15.75" customHeight="1" x14ac:dyDescent="0.15">
      <c r="C27" s="46"/>
    </row>
    <row r="32" spans="1:6" ht="15.75" customHeight="1" x14ac:dyDescent="0.15">
      <c r="B32" s="7"/>
    </row>
    <row r="35" spans="2:2" ht="15.75" customHeight="1" x14ac:dyDescent="0.15">
      <c r="B35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2:F36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5" max="5" width="16.6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10</v>
      </c>
      <c r="C6" s="2">
        <v>900</v>
      </c>
      <c r="D6" s="3">
        <f t="shared" si="0"/>
        <v>9000</v>
      </c>
      <c r="E6" s="2">
        <v>1000</v>
      </c>
      <c r="F6" s="3">
        <f t="shared" si="1"/>
        <v>10000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>
        <v>10</v>
      </c>
      <c r="C10" s="2">
        <v>500</v>
      </c>
      <c r="D10" s="3">
        <f t="shared" si="0"/>
        <v>5000</v>
      </c>
      <c r="E10" s="2">
        <v>600</v>
      </c>
      <c r="F10" s="3">
        <f t="shared" si="1"/>
        <v>6000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116900</v>
      </c>
      <c r="F13" s="4">
        <f>SUM(F3:F12)</f>
        <v>146900</v>
      </c>
    </row>
    <row r="14" spans="1:6" ht="15.75" customHeight="1" x14ac:dyDescent="0.15">
      <c r="E14" s="5" t="s">
        <v>141</v>
      </c>
      <c r="F14" s="6">
        <v>2900</v>
      </c>
    </row>
    <row r="15" spans="1:6" ht="15.75" customHeight="1" x14ac:dyDescent="0.15">
      <c r="E15" s="5" t="s">
        <v>12</v>
      </c>
      <c r="F15" s="6">
        <f>F13-D13-F14</f>
        <v>27100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v>132200</v>
      </c>
    </row>
    <row r="19" spans="1:6" ht="15.75" customHeight="1" x14ac:dyDescent="0.15">
      <c r="A19" s="7" t="s">
        <v>19</v>
      </c>
      <c r="E19" s="2" t="s">
        <v>167</v>
      </c>
      <c r="F19" s="3"/>
    </row>
    <row r="20" spans="1:6" ht="15.75" customHeight="1" x14ac:dyDescent="0.15">
      <c r="A20" s="2" t="s">
        <v>170</v>
      </c>
      <c r="B20" s="2"/>
      <c r="C20" s="3">
        <v>5000</v>
      </c>
      <c r="D20" s="8" t="s">
        <v>155</v>
      </c>
      <c r="E20" s="2" t="s">
        <v>116</v>
      </c>
      <c r="F20" s="3"/>
    </row>
    <row r="21" spans="1:6" ht="15.75" customHeight="1" x14ac:dyDescent="0.15">
      <c r="A21" s="2" t="s">
        <v>126</v>
      </c>
      <c r="B21" s="2"/>
      <c r="C21" s="3">
        <v>1100</v>
      </c>
      <c r="D21" s="8" t="s">
        <v>155</v>
      </c>
      <c r="E21" s="2" t="s">
        <v>181</v>
      </c>
      <c r="F21" s="3">
        <v>1400</v>
      </c>
    </row>
    <row r="22" spans="1:6" ht="15.75" customHeight="1" x14ac:dyDescent="0.15">
      <c r="A22" s="2" t="s">
        <v>32</v>
      </c>
      <c r="B22" s="2"/>
      <c r="C22" s="3">
        <f>700+1200+500</f>
        <v>2400</v>
      </c>
      <c r="E22" s="2" t="str">
        <f>A19</f>
        <v>Not Paid</v>
      </c>
      <c r="F22" s="3">
        <f>C27</f>
        <v>15000</v>
      </c>
    </row>
    <row r="23" spans="1:6" ht="15.75" customHeight="1" x14ac:dyDescent="0.15">
      <c r="A23" s="2" t="s">
        <v>182</v>
      </c>
      <c r="B23" s="2"/>
      <c r="C23" s="3">
        <v>1200</v>
      </c>
      <c r="D23" s="8" t="s">
        <v>158</v>
      </c>
      <c r="E23" s="2"/>
      <c r="F23" s="4"/>
    </row>
    <row r="24" spans="1:6" ht="15.75" customHeight="1" x14ac:dyDescent="0.15">
      <c r="A24" s="2" t="s">
        <v>183</v>
      </c>
      <c r="B24" s="2"/>
      <c r="C24" s="3">
        <v>600</v>
      </c>
      <c r="E24" s="2" t="s">
        <v>17</v>
      </c>
      <c r="F24" s="3">
        <f>SUM(F18:F23)</f>
        <v>148600</v>
      </c>
    </row>
    <row r="25" spans="1:6" ht="15.75" customHeight="1" x14ac:dyDescent="0.15">
      <c r="A25" s="2" t="s">
        <v>171</v>
      </c>
      <c r="B25" s="2"/>
      <c r="C25" s="3">
        <v>2100</v>
      </c>
      <c r="D25" s="8" t="s">
        <v>155</v>
      </c>
      <c r="E25" s="8" t="s">
        <v>152</v>
      </c>
      <c r="F25" s="47">
        <f>F13-F24</f>
        <v>-1700</v>
      </c>
    </row>
    <row r="26" spans="1:6" ht="15.75" customHeight="1" x14ac:dyDescent="0.15">
      <c r="A26" s="2" t="s">
        <v>111</v>
      </c>
      <c r="B26" s="2"/>
      <c r="C26" s="3">
        <v>2600</v>
      </c>
      <c r="D26" s="8" t="s">
        <v>158</v>
      </c>
    </row>
    <row r="27" spans="1:6" ht="15.75" customHeight="1" x14ac:dyDescent="0.15">
      <c r="A27" s="2"/>
      <c r="B27" s="2"/>
      <c r="C27" s="3">
        <f>SUM(C20:C26)</f>
        <v>15000</v>
      </c>
      <c r="E27" s="7" t="s">
        <v>184</v>
      </c>
    </row>
    <row r="28" spans="1:6" ht="15.75" customHeight="1" x14ac:dyDescent="0.15">
      <c r="C28" s="46"/>
      <c r="E28" s="8" t="s">
        <v>185</v>
      </c>
      <c r="F28" s="8">
        <v>2000</v>
      </c>
    </row>
    <row r="29" spans="1:6" ht="15.75" customHeight="1" x14ac:dyDescent="0.15">
      <c r="E29" s="50" t="s">
        <v>186</v>
      </c>
    </row>
    <row r="33" spans="2:2" ht="15.75" customHeight="1" x14ac:dyDescent="0.15">
      <c r="B33" s="7"/>
    </row>
    <row r="36" spans="2:2" ht="15.75" customHeight="1" x14ac:dyDescent="0.15">
      <c r="B36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2:F37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12</v>
      </c>
      <c r="C6" s="2">
        <v>900</v>
      </c>
      <c r="D6" s="3">
        <f t="shared" si="0"/>
        <v>10800</v>
      </c>
      <c r="E6" s="2">
        <v>1000</v>
      </c>
      <c r="F6" s="3">
        <f t="shared" si="1"/>
        <v>12000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>
        <v>12</v>
      </c>
      <c r="C10" s="2">
        <v>500</v>
      </c>
      <c r="D10" s="3">
        <f t="shared" si="0"/>
        <v>6000</v>
      </c>
      <c r="E10" s="2">
        <v>600</v>
      </c>
      <c r="F10" s="3">
        <f t="shared" si="1"/>
        <v>7200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119700</v>
      </c>
      <c r="F13" s="4">
        <f>SUM(F3:F12)</f>
        <v>150100</v>
      </c>
    </row>
    <row r="14" spans="1:6" ht="15.75" customHeight="1" x14ac:dyDescent="0.15">
      <c r="E14" s="5" t="s">
        <v>141</v>
      </c>
      <c r="F14" s="6"/>
    </row>
    <row r="15" spans="1:6" ht="15.75" customHeight="1" x14ac:dyDescent="0.15">
      <c r="E15" s="5" t="s">
        <v>12</v>
      </c>
      <c r="F15" s="6">
        <f>F13-D13-F14</f>
        <v>30400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v>118000</v>
      </c>
    </row>
    <row r="19" spans="1:6" ht="15.75" customHeight="1" x14ac:dyDescent="0.15">
      <c r="A19" s="7" t="s">
        <v>19</v>
      </c>
      <c r="E19" s="2" t="s">
        <v>167</v>
      </c>
      <c r="F19" s="3">
        <v>9200</v>
      </c>
    </row>
    <row r="20" spans="1:6" ht="15.75" customHeight="1" x14ac:dyDescent="0.15">
      <c r="A20" s="2" t="s">
        <v>187</v>
      </c>
      <c r="B20" s="2"/>
      <c r="C20" s="3">
        <v>2600</v>
      </c>
      <c r="D20" s="8" t="s">
        <v>155</v>
      </c>
      <c r="E20" s="2" t="s">
        <v>116</v>
      </c>
      <c r="F20" s="3">
        <f>5*700</f>
        <v>3500</v>
      </c>
    </row>
    <row r="21" spans="1:6" ht="15.75" customHeight="1" x14ac:dyDescent="0.15">
      <c r="A21" s="2" t="s">
        <v>111</v>
      </c>
      <c r="B21" s="2"/>
      <c r="C21" s="3">
        <v>1300</v>
      </c>
      <c r="D21" s="8" t="s">
        <v>158</v>
      </c>
      <c r="E21" s="2" t="s">
        <v>181</v>
      </c>
      <c r="F21" s="3">
        <v>1400</v>
      </c>
    </row>
    <row r="22" spans="1:6" ht="15.75" customHeight="1" x14ac:dyDescent="0.15">
      <c r="A22" s="2" t="s">
        <v>119</v>
      </c>
      <c r="B22" s="2"/>
      <c r="C22" s="3">
        <v>2700</v>
      </c>
      <c r="D22" s="8" t="s">
        <v>158</v>
      </c>
      <c r="E22" s="2" t="str">
        <f>A19</f>
        <v>Not Paid</v>
      </c>
      <c r="F22" s="3">
        <f>C28</f>
        <v>15550</v>
      </c>
    </row>
    <row r="23" spans="1:6" ht="15.75" customHeight="1" x14ac:dyDescent="0.15">
      <c r="A23" s="2" t="s">
        <v>165</v>
      </c>
      <c r="B23" s="2"/>
      <c r="C23" s="3">
        <v>1800</v>
      </c>
      <c r="D23" s="8" t="s">
        <v>155</v>
      </c>
      <c r="E23" s="2" t="s">
        <v>188</v>
      </c>
      <c r="F23" s="4">
        <v>2000</v>
      </c>
    </row>
    <row r="24" spans="1:6" ht="15.75" customHeight="1" x14ac:dyDescent="0.15">
      <c r="A24" s="2" t="s">
        <v>146</v>
      </c>
      <c r="B24" s="2"/>
      <c r="C24" s="3">
        <v>2000</v>
      </c>
      <c r="D24" s="8" t="s">
        <v>155</v>
      </c>
      <c r="E24" s="2" t="s">
        <v>17</v>
      </c>
      <c r="F24" s="3">
        <f>SUM(F18:F23)</f>
        <v>149650</v>
      </c>
    </row>
    <row r="25" spans="1:6" ht="15.75" customHeight="1" x14ac:dyDescent="0.15">
      <c r="A25" s="2" t="s">
        <v>189</v>
      </c>
      <c r="B25" s="2"/>
      <c r="C25" s="3">
        <v>1500</v>
      </c>
      <c r="D25" s="8" t="s">
        <v>155</v>
      </c>
      <c r="E25" s="8" t="s">
        <v>152</v>
      </c>
      <c r="F25" s="47">
        <f>F13-F24</f>
        <v>450</v>
      </c>
    </row>
    <row r="26" spans="1:6" ht="15.75" customHeight="1" x14ac:dyDescent="0.15">
      <c r="A26" s="2" t="s">
        <v>182</v>
      </c>
      <c r="B26" s="2"/>
      <c r="C26" s="3">
        <v>1800</v>
      </c>
      <c r="D26" s="8" t="s">
        <v>158</v>
      </c>
    </row>
    <row r="27" spans="1:6" ht="15.75" customHeight="1" x14ac:dyDescent="0.15">
      <c r="A27" s="2" t="s">
        <v>190</v>
      </c>
      <c r="B27" s="2"/>
      <c r="C27" s="3">
        <v>1850</v>
      </c>
      <c r="D27" s="8" t="s">
        <v>155</v>
      </c>
    </row>
    <row r="28" spans="1:6" ht="15.75" customHeight="1" x14ac:dyDescent="0.15">
      <c r="A28" s="2"/>
      <c r="B28" s="2"/>
      <c r="C28" s="3">
        <f>SUM(C20:C27)</f>
        <v>15550</v>
      </c>
      <c r="E28" s="7"/>
    </row>
    <row r="29" spans="1:6" ht="15.75" customHeight="1" x14ac:dyDescent="0.15">
      <c r="C29" s="46"/>
    </row>
    <row r="30" spans="1:6" ht="15.75" customHeight="1" x14ac:dyDescent="0.15">
      <c r="E30" s="50"/>
    </row>
    <row r="34" spans="2:5" ht="15.75" customHeight="1" x14ac:dyDescent="0.15">
      <c r="B34" s="7"/>
    </row>
    <row r="36" spans="2:5" ht="15.75" customHeight="1" x14ac:dyDescent="0.15">
      <c r="E36" s="8"/>
    </row>
    <row r="37" spans="2:5" ht="15.75" customHeight="1" x14ac:dyDescent="0.15">
      <c r="B37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2:F36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12</v>
      </c>
      <c r="C6" s="2">
        <v>900</v>
      </c>
      <c r="D6" s="3">
        <f t="shared" si="0"/>
        <v>10800</v>
      </c>
      <c r="E6" s="2">
        <v>1000</v>
      </c>
      <c r="F6" s="3">
        <f t="shared" si="1"/>
        <v>12000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/>
      <c r="C10" s="2">
        <v>500</v>
      </c>
      <c r="D10" s="3">
        <f t="shared" si="0"/>
        <v>0</v>
      </c>
      <c r="E10" s="2">
        <v>600</v>
      </c>
      <c r="F10" s="3">
        <f t="shared" si="1"/>
        <v>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113700</v>
      </c>
      <c r="F13" s="4">
        <f>SUM(F3:F12)</f>
        <v>142900</v>
      </c>
    </row>
    <row r="14" spans="1:6" ht="15.75" customHeight="1" x14ac:dyDescent="0.15">
      <c r="E14" s="5" t="s">
        <v>141</v>
      </c>
      <c r="F14" s="6"/>
    </row>
    <row r="15" spans="1:6" ht="15.75" customHeight="1" x14ac:dyDescent="0.15">
      <c r="E15" s="5" t="s">
        <v>12</v>
      </c>
      <c r="F15" s="6">
        <f>F13-D13-F14</f>
        <v>29200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v>106000</v>
      </c>
    </row>
    <row r="19" spans="1:6" ht="15.75" customHeight="1" x14ac:dyDescent="0.15">
      <c r="A19" s="7" t="s">
        <v>19</v>
      </c>
      <c r="E19" s="2" t="s">
        <v>167</v>
      </c>
      <c r="F19" s="3">
        <v>14400</v>
      </c>
    </row>
    <row r="20" spans="1:6" ht="15.75" customHeight="1" x14ac:dyDescent="0.15">
      <c r="A20" s="2" t="s">
        <v>191</v>
      </c>
      <c r="B20" s="2"/>
      <c r="C20" s="3">
        <v>1200</v>
      </c>
      <c r="D20" s="8" t="s">
        <v>155</v>
      </c>
      <c r="E20" s="2" t="s">
        <v>116</v>
      </c>
      <c r="F20" s="3">
        <f>6*700</f>
        <v>4200</v>
      </c>
    </row>
    <row r="21" spans="1:6" ht="15.75" customHeight="1" x14ac:dyDescent="0.15">
      <c r="A21" s="2" t="s">
        <v>192</v>
      </c>
      <c r="B21" s="2"/>
      <c r="C21" s="3">
        <v>2700</v>
      </c>
      <c r="D21" s="8" t="s">
        <v>155</v>
      </c>
      <c r="E21" s="2" t="s">
        <v>181</v>
      </c>
      <c r="F21" s="3">
        <v>1400</v>
      </c>
    </row>
    <row r="22" spans="1:6" ht="15.75" customHeight="1" x14ac:dyDescent="0.15">
      <c r="A22" s="2" t="s">
        <v>193</v>
      </c>
      <c r="B22" s="2"/>
      <c r="C22" s="3">
        <v>1300</v>
      </c>
      <c r="D22" s="8" t="s">
        <v>155</v>
      </c>
      <c r="E22" s="2" t="str">
        <f>A19</f>
        <v>Not Paid</v>
      </c>
      <c r="F22" s="3">
        <f>C27</f>
        <v>13100</v>
      </c>
    </row>
    <row r="23" spans="1:6" ht="15.75" customHeight="1" x14ac:dyDescent="0.15">
      <c r="A23" s="2" t="s">
        <v>194</v>
      </c>
      <c r="B23" s="2"/>
      <c r="C23" s="3">
        <v>2000</v>
      </c>
      <c r="D23" s="8" t="s">
        <v>155</v>
      </c>
      <c r="E23" s="2" t="s">
        <v>195</v>
      </c>
      <c r="F23" s="4">
        <v>700</v>
      </c>
    </row>
    <row r="24" spans="1:6" ht="15.75" customHeight="1" x14ac:dyDescent="0.15">
      <c r="A24" s="2" t="s">
        <v>40</v>
      </c>
      <c r="B24" s="2"/>
      <c r="C24" s="3">
        <v>1300</v>
      </c>
      <c r="D24" s="8" t="s">
        <v>155</v>
      </c>
      <c r="E24" s="2" t="s">
        <v>17</v>
      </c>
      <c r="F24" s="3">
        <f>SUM(F18:F23)</f>
        <v>139800</v>
      </c>
    </row>
    <row r="25" spans="1:6" ht="15.75" customHeight="1" x14ac:dyDescent="0.15">
      <c r="A25" s="2" t="s">
        <v>41</v>
      </c>
      <c r="B25" s="2"/>
      <c r="C25" s="3">
        <v>4600</v>
      </c>
      <c r="D25" s="8" t="s">
        <v>155</v>
      </c>
      <c r="E25" s="8" t="s">
        <v>152</v>
      </c>
      <c r="F25" s="47">
        <f>F13-F24</f>
        <v>3100</v>
      </c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>
        <f>SUM(C20:C26)</f>
        <v>13100</v>
      </c>
      <c r="E27" s="7"/>
    </row>
    <row r="28" spans="1:6" ht="15.75" customHeight="1" x14ac:dyDescent="0.15">
      <c r="C28" s="46"/>
    </row>
    <row r="29" spans="1:6" ht="15.75" customHeight="1" x14ac:dyDescent="0.15">
      <c r="E29" s="51">
        <f>F18+F19+F22-C22+F25</f>
        <v>135300</v>
      </c>
    </row>
    <row r="33" spans="2:5" ht="15.75" customHeight="1" x14ac:dyDescent="0.15">
      <c r="B33" s="7"/>
    </row>
    <row r="35" spans="2:5" ht="15.75" customHeight="1" x14ac:dyDescent="0.15">
      <c r="E35" s="8"/>
    </row>
    <row r="36" spans="2:5" ht="15.75" customHeight="1" x14ac:dyDescent="0.15">
      <c r="B36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2:F37"/>
  <sheetViews>
    <sheetView workbookViewId="0">
      <selection activeCell="D35" sqref="D35"/>
    </sheetView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17</v>
      </c>
      <c r="C6" s="2">
        <v>900</v>
      </c>
      <c r="D6" s="3">
        <f t="shared" si="0"/>
        <v>15300</v>
      </c>
      <c r="E6" s="2">
        <v>1000</v>
      </c>
      <c r="F6" s="3">
        <f t="shared" si="1"/>
        <v>17000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/>
      <c r="C10" s="2">
        <v>500</v>
      </c>
      <c r="D10" s="3">
        <f t="shared" si="0"/>
        <v>0</v>
      </c>
      <c r="E10" s="2">
        <v>600</v>
      </c>
      <c r="F10" s="3">
        <f t="shared" si="1"/>
        <v>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118200</v>
      </c>
      <c r="F13" s="4">
        <f>SUM(F3:F12)</f>
        <v>147900</v>
      </c>
    </row>
    <row r="14" spans="1:6" ht="15.75" customHeight="1" x14ac:dyDescent="0.15">
      <c r="E14" s="5" t="s">
        <v>141</v>
      </c>
      <c r="F14" s="6"/>
    </row>
    <row r="15" spans="1:6" ht="15.75" customHeight="1" x14ac:dyDescent="0.15">
      <c r="E15" s="5" t="s">
        <v>12</v>
      </c>
      <c r="F15" s="6">
        <f>F13-D13-F14</f>
        <v>29700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v>120800</v>
      </c>
    </row>
    <row r="19" spans="1:6" ht="15.75" customHeight="1" x14ac:dyDescent="0.15">
      <c r="A19" s="7" t="s">
        <v>19</v>
      </c>
      <c r="E19" s="2" t="s">
        <v>167</v>
      </c>
      <c r="F19" s="3">
        <v>4000</v>
      </c>
    </row>
    <row r="20" spans="1:6" ht="15.75" customHeight="1" x14ac:dyDescent="0.15">
      <c r="A20" s="2" t="s">
        <v>182</v>
      </c>
      <c r="B20" s="2"/>
      <c r="C20" s="3">
        <v>1100</v>
      </c>
      <c r="D20" s="8" t="s">
        <v>155</v>
      </c>
      <c r="E20" s="2" t="s">
        <v>116</v>
      </c>
      <c r="F20" s="3"/>
    </row>
    <row r="21" spans="1:6" ht="15.75" customHeight="1" x14ac:dyDescent="0.15">
      <c r="A21" s="2" t="s">
        <v>126</v>
      </c>
      <c r="B21" s="2"/>
      <c r="C21" s="3">
        <v>3700</v>
      </c>
      <c r="D21" s="8" t="s">
        <v>155</v>
      </c>
      <c r="E21" s="2" t="s">
        <v>181</v>
      </c>
      <c r="F21" s="3">
        <v>1400</v>
      </c>
    </row>
    <row r="22" spans="1:6" ht="15.75" customHeight="1" x14ac:dyDescent="0.15">
      <c r="A22" s="2" t="s">
        <v>196</v>
      </c>
      <c r="B22" s="2"/>
      <c r="C22" s="3">
        <v>5200</v>
      </c>
      <c r="D22" s="8" t="s">
        <v>155</v>
      </c>
      <c r="E22" s="2" t="str">
        <f>A19</f>
        <v>Not Paid</v>
      </c>
      <c r="F22" s="3">
        <f>C28</f>
        <v>18000</v>
      </c>
    </row>
    <row r="23" spans="1:6" ht="15.75" customHeight="1" x14ac:dyDescent="0.15">
      <c r="A23" s="2" t="s">
        <v>197</v>
      </c>
      <c r="B23" s="2"/>
      <c r="C23" s="3">
        <v>3800</v>
      </c>
      <c r="D23" s="8" t="s">
        <v>155</v>
      </c>
      <c r="E23" s="2" t="s">
        <v>158</v>
      </c>
      <c r="F23" s="4">
        <v>2100</v>
      </c>
    </row>
    <row r="24" spans="1:6" ht="15.75" customHeight="1" x14ac:dyDescent="0.15">
      <c r="A24" s="2" t="s">
        <v>198</v>
      </c>
      <c r="B24" s="2"/>
      <c r="C24" s="3">
        <v>1900</v>
      </c>
      <c r="D24" s="8" t="s">
        <v>155</v>
      </c>
      <c r="E24" s="2" t="s">
        <v>17</v>
      </c>
      <c r="F24" s="3">
        <f>SUM(F18:F23)</f>
        <v>146300</v>
      </c>
    </row>
    <row r="25" spans="1:6" ht="15.75" customHeight="1" x14ac:dyDescent="0.15">
      <c r="A25" s="2" t="s">
        <v>28</v>
      </c>
      <c r="B25" s="2"/>
      <c r="C25" s="3">
        <v>600</v>
      </c>
      <c r="D25" s="8" t="s">
        <v>155</v>
      </c>
      <c r="E25" s="8" t="s">
        <v>152</v>
      </c>
      <c r="F25" s="47">
        <f>F13-F24</f>
        <v>1600</v>
      </c>
    </row>
    <row r="26" spans="1:6" ht="15.75" customHeight="1" x14ac:dyDescent="0.15">
      <c r="A26" s="2" t="s">
        <v>111</v>
      </c>
      <c r="B26" s="2"/>
      <c r="C26" s="3">
        <v>1700</v>
      </c>
    </row>
    <row r="27" spans="1:6" ht="15.75" customHeight="1" x14ac:dyDescent="0.15">
      <c r="A27" s="2"/>
      <c r="B27" s="2"/>
      <c r="C27" s="3"/>
      <c r="E27" s="7"/>
    </row>
    <row r="28" spans="1:6" ht="15.75" customHeight="1" x14ac:dyDescent="0.15">
      <c r="A28" s="2"/>
      <c r="B28" s="2"/>
      <c r="C28" s="3">
        <f>SUM(C20:C26)</f>
        <v>18000</v>
      </c>
      <c r="E28" s="7"/>
    </row>
    <row r="29" spans="1:6" ht="15.75" customHeight="1" x14ac:dyDescent="0.15">
      <c r="C29" s="46"/>
    </row>
    <row r="30" spans="1:6" ht="15.75" customHeight="1" x14ac:dyDescent="0.15">
      <c r="E30" s="50"/>
    </row>
    <row r="34" spans="2:5" ht="15.75" customHeight="1" x14ac:dyDescent="0.15">
      <c r="B34" s="7"/>
    </row>
    <row r="36" spans="2:5" ht="15.75" customHeight="1" x14ac:dyDescent="0.15">
      <c r="E36" s="8"/>
    </row>
    <row r="37" spans="2:5" ht="15.75" customHeight="1" x14ac:dyDescent="0.15">
      <c r="B37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2:F37"/>
  <sheetViews>
    <sheetView workbookViewId="0">
      <selection activeCell="D20" sqref="D20"/>
    </sheetView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19</v>
      </c>
      <c r="C6" s="2">
        <v>900</v>
      </c>
      <c r="D6" s="3">
        <f t="shared" si="0"/>
        <v>17100</v>
      </c>
      <c r="E6" s="2">
        <v>1000</v>
      </c>
      <c r="F6" s="3">
        <f t="shared" si="1"/>
        <v>19000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/>
      <c r="C10" s="2">
        <v>500</v>
      </c>
      <c r="D10" s="3">
        <f t="shared" si="0"/>
        <v>0</v>
      </c>
      <c r="E10" s="2">
        <v>600</v>
      </c>
      <c r="F10" s="3">
        <f t="shared" si="1"/>
        <v>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120000</v>
      </c>
      <c r="F13" s="4">
        <f>SUM(F3:F12)</f>
        <v>149900</v>
      </c>
    </row>
    <row r="14" spans="1:6" ht="15.75" customHeight="1" x14ac:dyDescent="0.15">
      <c r="E14" s="5" t="s">
        <v>141</v>
      </c>
      <c r="F14" s="6"/>
    </row>
    <row r="15" spans="1:6" ht="15.75" customHeight="1" x14ac:dyDescent="0.15">
      <c r="E15" s="5" t="s">
        <v>12</v>
      </c>
      <c r="F15" s="6">
        <f>F13-D13-F14</f>
        <v>29900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f>113000+1900+5200</f>
        <v>120100</v>
      </c>
    </row>
    <row r="19" spans="1:6" ht="15.75" customHeight="1" x14ac:dyDescent="0.15">
      <c r="A19" s="7" t="s">
        <v>19</v>
      </c>
      <c r="E19" s="2" t="s">
        <v>167</v>
      </c>
      <c r="F19" s="3">
        <v>15000</v>
      </c>
    </row>
    <row r="20" spans="1:6" ht="15.75" customHeight="1" x14ac:dyDescent="0.15">
      <c r="A20" s="2" t="s">
        <v>111</v>
      </c>
      <c r="B20" s="2"/>
      <c r="C20" s="3">
        <v>1000</v>
      </c>
      <c r="D20" s="8"/>
      <c r="E20" s="2" t="s">
        <v>116</v>
      </c>
      <c r="F20" s="3">
        <f>(E5*7)+(E3*6)</f>
        <v>8500</v>
      </c>
    </row>
    <row r="21" spans="1:6" ht="15.75" customHeight="1" x14ac:dyDescent="0.15">
      <c r="A21" s="2" t="s">
        <v>199</v>
      </c>
      <c r="B21" s="2"/>
      <c r="C21" s="3">
        <v>500</v>
      </c>
      <c r="D21" s="8" t="s">
        <v>155</v>
      </c>
      <c r="E21" s="2" t="s">
        <v>200</v>
      </c>
      <c r="F21" s="3">
        <f>E11*6</f>
        <v>4200</v>
      </c>
    </row>
    <row r="22" spans="1:6" ht="15.75" customHeight="1" x14ac:dyDescent="0.15">
      <c r="A22" s="2" t="s">
        <v>201</v>
      </c>
      <c r="B22" s="2"/>
      <c r="C22" s="3">
        <v>2400</v>
      </c>
      <c r="D22" s="8" t="s">
        <v>155</v>
      </c>
      <c r="E22" s="2" t="str">
        <f>A19</f>
        <v>Not Paid</v>
      </c>
      <c r="F22" s="3">
        <f>C28</f>
        <v>3900</v>
      </c>
    </row>
    <row r="23" spans="1:6" ht="15.75" customHeight="1" x14ac:dyDescent="0.15">
      <c r="A23" s="2"/>
      <c r="B23" s="2"/>
      <c r="C23" s="3"/>
      <c r="E23" s="2" t="s">
        <v>202</v>
      </c>
      <c r="F23" s="4">
        <f>E12*7</f>
        <v>3500</v>
      </c>
    </row>
    <row r="24" spans="1:6" ht="15.75" customHeight="1" x14ac:dyDescent="0.15">
      <c r="A24" s="2"/>
      <c r="B24" s="2"/>
      <c r="C24" s="3"/>
      <c r="E24" s="2" t="s">
        <v>17</v>
      </c>
      <c r="F24" s="3">
        <f>SUM(F18:F23)</f>
        <v>155200</v>
      </c>
    </row>
    <row r="25" spans="1:6" ht="15.75" customHeight="1" x14ac:dyDescent="0.15">
      <c r="A25" s="2"/>
      <c r="B25" s="2"/>
      <c r="C25" s="3"/>
      <c r="E25" s="8" t="s">
        <v>152</v>
      </c>
      <c r="F25" s="47">
        <f>F13-F24</f>
        <v>-5300</v>
      </c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  <c r="E27" s="7"/>
    </row>
    <row r="28" spans="1:6" ht="15.75" customHeight="1" x14ac:dyDescent="0.15">
      <c r="A28" s="2"/>
      <c r="B28" s="2"/>
      <c r="C28" s="3">
        <f>SUM(C20:C26)</f>
        <v>3900</v>
      </c>
      <c r="E28" s="7"/>
    </row>
    <row r="29" spans="1:6" ht="15.75" customHeight="1" x14ac:dyDescent="0.15">
      <c r="C29" s="46"/>
    </row>
    <row r="30" spans="1:6" ht="15.75" customHeight="1" x14ac:dyDescent="0.15">
      <c r="E30" s="50"/>
    </row>
    <row r="34" spans="2:5" ht="15.75" customHeight="1" x14ac:dyDescent="0.15">
      <c r="B34" s="7"/>
    </row>
    <row r="36" spans="2:5" ht="15.75" customHeight="1" x14ac:dyDescent="0.15">
      <c r="E36" s="8"/>
    </row>
    <row r="37" spans="2:5" ht="15.75" customHeight="1" x14ac:dyDescent="0.15">
      <c r="B37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2:F37"/>
  <sheetViews>
    <sheetView workbookViewId="0"/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20</v>
      </c>
      <c r="C6" s="2">
        <v>900</v>
      </c>
      <c r="D6" s="3">
        <f t="shared" si="0"/>
        <v>18000</v>
      </c>
      <c r="E6" s="2">
        <v>1000</v>
      </c>
      <c r="F6" s="3">
        <f t="shared" si="1"/>
        <v>20000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/>
      <c r="C10" s="2">
        <v>500</v>
      </c>
      <c r="D10" s="3">
        <f t="shared" si="0"/>
        <v>0</v>
      </c>
      <c r="E10" s="2">
        <v>600</v>
      </c>
      <c r="F10" s="3">
        <f t="shared" si="1"/>
        <v>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120900</v>
      </c>
      <c r="F13" s="4">
        <f>SUM(F3:F12)</f>
        <v>150900</v>
      </c>
    </row>
    <row r="14" spans="1:6" ht="15.75" customHeight="1" x14ac:dyDescent="0.15">
      <c r="E14" s="5" t="s">
        <v>141</v>
      </c>
      <c r="F14" s="6"/>
    </row>
    <row r="15" spans="1:6" ht="15.75" customHeight="1" x14ac:dyDescent="0.15">
      <c r="E15" s="5" t="s">
        <v>12</v>
      </c>
      <c r="F15" s="6">
        <f>F13-D13-F14</f>
        <v>30000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v>119000</v>
      </c>
    </row>
    <row r="19" spans="1:6" ht="15.75" customHeight="1" x14ac:dyDescent="0.15">
      <c r="A19" s="7" t="s">
        <v>19</v>
      </c>
      <c r="E19" s="2" t="s">
        <v>167</v>
      </c>
      <c r="F19" s="3">
        <v>7000</v>
      </c>
    </row>
    <row r="20" spans="1:6" ht="15.75" customHeight="1" x14ac:dyDescent="0.15">
      <c r="A20" s="2" t="s">
        <v>111</v>
      </c>
      <c r="B20" s="2"/>
      <c r="C20" s="3">
        <v>2600</v>
      </c>
      <c r="E20" s="2" t="s">
        <v>116</v>
      </c>
      <c r="F20" s="3">
        <f>(E5*4)+(E3*4)</f>
        <v>5200</v>
      </c>
    </row>
    <row r="21" spans="1:6" ht="15.75" customHeight="1" x14ac:dyDescent="0.15">
      <c r="A21" s="2" t="s">
        <v>41</v>
      </c>
      <c r="B21" s="2"/>
      <c r="C21" s="3">
        <v>4500</v>
      </c>
      <c r="D21" s="8" t="s">
        <v>155</v>
      </c>
      <c r="E21" s="2" t="s">
        <v>200</v>
      </c>
      <c r="F21" s="3">
        <f>E11*6</f>
        <v>4200</v>
      </c>
    </row>
    <row r="22" spans="1:6" ht="15.75" customHeight="1" x14ac:dyDescent="0.15">
      <c r="A22" s="2"/>
      <c r="B22" s="2"/>
      <c r="C22" s="3"/>
      <c r="E22" s="2" t="str">
        <f>A19</f>
        <v>Not Paid</v>
      </c>
      <c r="F22" s="3">
        <f>C28</f>
        <v>7100</v>
      </c>
    </row>
    <row r="23" spans="1:6" ht="15.75" customHeight="1" x14ac:dyDescent="0.15">
      <c r="A23" s="2"/>
      <c r="B23" s="2"/>
      <c r="C23" s="3"/>
      <c r="E23" s="2" t="s">
        <v>202</v>
      </c>
      <c r="F23" s="4"/>
    </row>
    <row r="24" spans="1:6" ht="15.75" customHeight="1" x14ac:dyDescent="0.15">
      <c r="A24" s="2"/>
      <c r="B24" s="2"/>
      <c r="C24" s="3"/>
      <c r="E24" s="2" t="s">
        <v>17</v>
      </c>
      <c r="F24" s="3">
        <f>SUM(F18:F23)</f>
        <v>142500</v>
      </c>
    </row>
    <row r="25" spans="1:6" ht="15.75" customHeight="1" x14ac:dyDescent="0.15">
      <c r="A25" s="2"/>
      <c r="B25" s="2"/>
      <c r="C25" s="3"/>
      <c r="E25" s="8" t="s">
        <v>152</v>
      </c>
      <c r="F25" s="47">
        <f>F13-F24</f>
        <v>8400</v>
      </c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  <c r="E27" s="7"/>
    </row>
    <row r="28" spans="1:6" ht="15.75" customHeight="1" x14ac:dyDescent="0.15">
      <c r="A28" s="2"/>
      <c r="B28" s="2"/>
      <c r="C28" s="3">
        <f>SUM(C20:C26)</f>
        <v>7100</v>
      </c>
      <c r="E28" s="7"/>
    </row>
    <row r="29" spans="1:6" ht="15.75" customHeight="1" x14ac:dyDescent="0.15">
      <c r="C29" s="46"/>
    </row>
    <row r="30" spans="1:6" ht="15.75" customHeight="1" x14ac:dyDescent="0.15">
      <c r="E30" s="50"/>
    </row>
    <row r="34" spans="2:5" ht="15.75" customHeight="1" x14ac:dyDescent="0.15">
      <c r="B34" s="7"/>
    </row>
    <row r="36" spans="2:5" ht="15.75" customHeight="1" x14ac:dyDescent="0.15">
      <c r="E36" s="8"/>
    </row>
    <row r="37" spans="2:5" ht="15.75" customHeight="1" x14ac:dyDescent="0.15">
      <c r="B37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2:F37"/>
  <sheetViews>
    <sheetView workbookViewId="0">
      <selection activeCell="D28" sqref="D28"/>
    </sheetView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2" t="s">
        <v>5</v>
      </c>
      <c r="B3" s="2">
        <v>25</v>
      </c>
      <c r="C3" s="2">
        <v>500</v>
      </c>
      <c r="D3" s="3">
        <f t="shared" ref="D3:D12" si="0">B3*C3</f>
        <v>12500</v>
      </c>
      <c r="E3" s="2">
        <v>600</v>
      </c>
      <c r="F3" s="3">
        <f t="shared" ref="F3:F12" si="1">B3*E3</f>
        <v>15000</v>
      </c>
    </row>
    <row r="4" spans="1:6" ht="15.75" customHeight="1" x14ac:dyDescent="0.15">
      <c r="A4" s="2" t="s">
        <v>6</v>
      </c>
      <c r="B4" s="2">
        <v>25</v>
      </c>
      <c r="C4" s="2">
        <v>600</v>
      </c>
      <c r="D4" s="3">
        <f t="shared" si="0"/>
        <v>15000</v>
      </c>
      <c r="E4" s="2">
        <v>700</v>
      </c>
      <c r="F4" s="3">
        <f t="shared" si="1"/>
        <v>17500</v>
      </c>
    </row>
    <row r="5" spans="1:6" ht="15.75" customHeight="1" x14ac:dyDescent="0.15">
      <c r="A5" s="2" t="s">
        <v>7</v>
      </c>
      <c r="B5" s="2">
        <v>25</v>
      </c>
      <c r="C5" s="2">
        <v>600</v>
      </c>
      <c r="D5" s="3">
        <f t="shared" si="0"/>
        <v>15000</v>
      </c>
      <c r="E5" s="2">
        <v>700</v>
      </c>
      <c r="F5" s="3">
        <f t="shared" si="1"/>
        <v>17500</v>
      </c>
    </row>
    <row r="6" spans="1:6" ht="15.75" customHeight="1" x14ac:dyDescent="0.15">
      <c r="A6" s="2" t="s">
        <v>150</v>
      </c>
      <c r="B6" s="2">
        <v>20</v>
      </c>
      <c r="C6" s="2">
        <v>900</v>
      </c>
      <c r="D6" s="3">
        <f t="shared" si="0"/>
        <v>18000</v>
      </c>
      <c r="E6" s="2">
        <v>1000</v>
      </c>
      <c r="F6" s="3">
        <f t="shared" si="1"/>
        <v>20000</v>
      </c>
    </row>
    <row r="7" spans="1:6" ht="15.75" customHeight="1" x14ac:dyDescent="0.15">
      <c r="A7" s="2" t="s">
        <v>9</v>
      </c>
      <c r="B7" s="2">
        <v>15</v>
      </c>
      <c r="C7" s="2">
        <v>1000</v>
      </c>
      <c r="D7" s="3">
        <f t="shared" si="0"/>
        <v>15000</v>
      </c>
      <c r="E7" s="2">
        <v>1200</v>
      </c>
      <c r="F7" s="3">
        <f t="shared" si="1"/>
        <v>18000</v>
      </c>
    </row>
    <row r="8" spans="1:6" ht="15.75" customHeight="1" x14ac:dyDescent="0.15">
      <c r="A8" s="2" t="s">
        <v>10</v>
      </c>
      <c r="B8" s="2">
        <v>20</v>
      </c>
      <c r="C8" s="2">
        <v>800</v>
      </c>
      <c r="D8" s="3">
        <f t="shared" si="0"/>
        <v>16000</v>
      </c>
      <c r="E8" s="2">
        <v>1000</v>
      </c>
      <c r="F8" s="3">
        <f t="shared" si="1"/>
        <v>20000</v>
      </c>
    </row>
    <row r="9" spans="1:6" ht="15.75" customHeight="1" x14ac:dyDescent="0.15">
      <c r="A9" s="2" t="s">
        <v>124</v>
      </c>
      <c r="B9" s="2">
        <v>15</v>
      </c>
      <c r="C9" s="2">
        <v>600</v>
      </c>
      <c r="D9" s="3">
        <f t="shared" si="0"/>
        <v>9000</v>
      </c>
      <c r="E9" s="2">
        <v>700</v>
      </c>
      <c r="F9" s="3">
        <f t="shared" si="1"/>
        <v>10500</v>
      </c>
    </row>
    <row r="10" spans="1:6" ht="15.75" customHeight="1" x14ac:dyDescent="0.15">
      <c r="A10" s="2" t="s">
        <v>180</v>
      </c>
      <c r="B10" s="2"/>
      <c r="C10" s="2">
        <v>500</v>
      </c>
      <c r="D10" s="3">
        <f t="shared" si="0"/>
        <v>0</v>
      </c>
      <c r="E10" s="2">
        <v>600</v>
      </c>
      <c r="F10" s="3">
        <f t="shared" si="1"/>
        <v>0</v>
      </c>
    </row>
    <row r="11" spans="1:6" ht="15.75" customHeight="1" x14ac:dyDescent="0.15">
      <c r="A11" s="2" t="s">
        <v>174</v>
      </c>
      <c r="B11" s="2">
        <v>12</v>
      </c>
      <c r="C11" s="2">
        <v>500</v>
      </c>
      <c r="D11" s="3">
        <f t="shared" si="0"/>
        <v>6000</v>
      </c>
      <c r="E11" s="2">
        <v>700</v>
      </c>
      <c r="F11" s="3">
        <f t="shared" si="1"/>
        <v>8400</v>
      </c>
    </row>
    <row r="12" spans="1:6" ht="15.75" customHeight="1" x14ac:dyDescent="0.15">
      <c r="A12" s="2" t="s">
        <v>11</v>
      </c>
      <c r="B12" s="2">
        <v>48</v>
      </c>
      <c r="C12" s="2">
        <v>300</v>
      </c>
      <c r="D12" s="3">
        <f t="shared" si="0"/>
        <v>14400</v>
      </c>
      <c r="E12" s="2">
        <v>500</v>
      </c>
      <c r="F12" s="3">
        <f t="shared" si="1"/>
        <v>24000</v>
      </c>
    </row>
    <row r="13" spans="1:6" ht="15.75" customHeight="1" x14ac:dyDescent="0.15">
      <c r="D13" s="4">
        <f>SUM(D3:D12)</f>
        <v>120900</v>
      </c>
      <c r="F13" s="4">
        <f>SUM(F3:F12)</f>
        <v>150900</v>
      </c>
    </row>
    <row r="14" spans="1:6" ht="15.75" customHeight="1" x14ac:dyDescent="0.15">
      <c r="E14" s="5" t="s">
        <v>141</v>
      </c>
      <c r="F14" s="6"/>
    </row>
    <row r="15" spans="1:6" ht="15.75" customHeight="1" x14ac:dyDescent="0.15">
      <c r="E15" s="5" t="s">
        <v>12</v>
      </c>
      <c r="F15" s="6">
        <f>F13-D13-F14</f>
        <v>30000</v>
      </c>
    </row>
    <row r="16" spans="1:6" ht="15.75" customHeight="1" x14ac:dyDescent="0.15">
      <c r="E16" s="7"/>
    </row>
    <row r="17" spans="1:6" ht="15.75" customHeight="1" x14ac:dyDescent="0.15">
      <c r="E17" s="7" t="s">
        <v>13</v>
      </c>
    </row>
    <row r="18" spans="1:6" ht="15.75" customHeight="1" x14ac:dyDescent="0.15">
      <c r="E18" s="2" t="s">
        <v>14</v>
      </c>
      <c r="F18" s="3">
        <v>115000</v>
      </c>
    </row>
    <row r="19" spans="1:6" ht="15.75" customHeight="1" x14ac:dyDescent="0.15">
      <c r="A19" s="7" t="s">
        <v>19</v>
      </c>
      <c r="E19" s="2" t="s">
        <v>167</v>
      </c>
      <c r="F19" s="3">
        <v>10500</v>
      </c>
    </row>
    <row r="20" spans="1:6" ht="15.75" customHeight="1" x14ac:dyDescent="0.15">
      <c r="A20" s="2" t="s">
        <v>37</v>
      </c>
      <c r="B20" s="2"/>
      <c r="C20" s="3">
        <v>2400</v>
      </c>
      <c r="D20" s="8" t="s">
        <v>155</v>
      </c>
      <c r="E20" s="2" t="s">
        <v>116</v>
      </c>
      <c r="F20" s="3">
        <f>3500+3600</f>
        <v>7100</v>
      </c>
    </row>
    <row r="21" spans="1:6" ht="15.75" customHeight="1" x14ac:dyDescent="0.15">
      <c r="A21" s="2" t="s">
        <v>196</v>
      </c>
      <c r="B21" s="2"/>
      <c r="C21" s="3">
        <v>3300</v>
      </c>
      <c r="D21" s="8" t="s">
        <v>155</v>
      </c>
      <c r="E21" s="2" t="s">
        <v>200</v>
      </c>
      <c r="F21" s="3">
        <f>E11*6</f>
        <v>4200</v>
      </c>
    </row>
    <row r="22" spans="1:6" ht="15.75" customHeight="1" x14ac:dyDescent="0.15">
      <c r="A22" s="2" t="s">
        <v>197</v>
      </c>
      <c r="B22" s="2"/>
      <c r="C22" s="3">
        <v>3300</v>
      </c>
      <c r="D22" s="8" t="s">
        <v>155</v>
      </c>
      <c r="E22" s="2" t="str">
        <f>A19</f>
        <v>Not Paid</v>
      </c>
      <c r="F22" s="3">
        <f>C28</f>
        <v>15200</v>
      </c>
    </row>
    <row r="23" spans="1:6" ht="15.75" customHeight="1" x14ac:dyDescent="0.15">
      <c r="A23" s="2" t="s">
        <v>40</v>
      </c>
      <c r="B23" s="2"/>
      <c r="C23" s="3">
        <v>3600</v>
      </c>
      <c r="D23" s="8" t="s">
        <v>155</v>
      </c>
      <c r="E23" s="2"/>
      <c r="F23" s="4"/>
    </row>
    <row r="24" spans="1:6" ht="15.75" customHeight="1" x14ac:dyDescent="0.15">
      <c r="A24" s="2" t="s">
        <v>199</v>
      </c>
      <c r="B24" s="2"/>
      <c r="C24" s="3">
        <v>2600</v>
      </c>
      <c r="E24" s="2" t="s">
        <v>17</v>
      </c>
      <c r="F24" s="3">
        <f>SUM(F18:F23)</f>
        <v>152000</v>
      </c>
    </row>
    <row r="25" spans="1:6" ht="15.75" customHeight="1" x14ac:dyDescent="0.15">
      <c r="A25" s="2"/>
      <c r="B25" s="2"/>
      <c r="C25" s="3"/>
      <c r="E25" s="8" t="s">
        <v>152</v>
      </c>
      <c r="F25" s="47">
        <f>F13-F24</f>
        <v>-1100</v>
      </c>
    </row>
    <row r="26" spans="1:6" ht="15.75" customHeight="1" x14ac:dyDescent="0.15">
      <c r="A26" s="2"/>
      <c r="B26" s="2"/>
      <c r="C26" s="3"/>
    </row>
    <row r="27" spans="1:6" ht="15.75" customHeight="1" x14ac:dyDescent="0.15">
      <c r="A27" s="2"/>
      <c r="B27" s="2"/>
      <c r="C27" s="3"/>
      <c r="E27" s="7"/>
    </row>
    <row r="28" spans="1:6" ht="15.75" customHeight="1" x14ac:dyDescent="0.15">
      <c r="A28" s="2"/>
      <c r="B28" s="2"/>
      <c r="C28" s="3">
        <f>SUM(C20:C26)</f>
        <v>15200</v>
      </c>
      <c r="E28" s="7"/>
    </row>
    <row r="29" spans="1:6" ht="15.75" customHeight="1" x14ac:dyDescent="0.15">
      <c r="C29" s="46"/>
    </row>
    <row r="30" spans="1:6" ht="15.75" customHeight="1" x14ac:dyDescent="0.15">
      <c r="E30" s="50"/>
    </row>
    <row r="34" spans="2:5" ht="15.75" customHeight="1" x14ac:dyDescent="0.15">
      <c r="B34" s="7"/>
    </row>
    <row r="36" spans="2:5" ht="15.75" customHeight="1" x14ac:dyDescent="0.15">
      <c r="E36" s="8"/>
    </row>
    <row r="37" spans="2:5" ht="15.75" customHeight="1" x14ac:dyDescent="0.15">
      <c r="B37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2:J37"/>
  <sheetViews>
    <sheetView workbookViewId="0">
      <selection activeCell="H28" sqref="H28:H29"/>
    </sheetView>
  </sheetViews>
  <sheetFormatPr baseColWidth="10" defaultColWidth="12.6640625" defaultRowHeight="15.75" customHeight="1" x14ac:dyDescent="0.15"/>
  <cols>
    <col min="2" max="2" width="4.6640625" customWidth="1"/>
    <col min="4" max="4" width="13.6640625" customWidth="1"/>
    <col min="5" max="5" width="19.1640625" customWidth="1"/>
  </cols>
  <sheetData>
    <row r="2" spans="1:6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ht="15.75" customHeight="1" x14ac:dyDescent="0.15">
      <c r="A3" s="52" t="s">
        <v>5</v>
      </c>
      <c r="B3" s="52">
        <v>25</v>
      </c>
      <c r="C3" s="52">
        <v>500</v>
      </c>
      <c r="D3" s="3">
        <f t="shared" ref="D3:D12" si="0">B3*C3</f>
        <v>12500</v>
      </c>
      <c r="E3" s="52">
        <v>600</v>
      </c>
      <c r="F3" s="3">
        <f t="shared" ref="F3:F12" si="1">B3*E3</f>
        <v>15000</v>
      </c>
    </row>
    <row r="4" spans="1:6" ht="15.75" customHeight="1" x14ac:dyDescent="0.15">
      <c r="A4" s="52" t="s">
        <v>6</v>
      </c>
      <c r="B4" s="52">
        <v>25</v>
      </c>
      <c r="C4" s="52">
        <v>600</v>
      </c>
      <c r="D4" s="3">
        <f t="shared" si="0"/>
        <v>15000</v>
      </c>
      <c r="E4" s="52">
        <v>700</v>
      </c>
      <c r="F4" s="3">
        <f t="shared" si="1"/>
        <v>17500</v>
      </c>
    </row>
    <row r="5" spans="1:6" ht="15.75" customHeight="1" x14ac:dyDescent="0.15">
      <c r="A5" s="52" t="s">
        <v>7</v>
      </c>
      <c r="B5" s="52">
        <v>25</v>
      </c>
      <c r="C5" s="52">
        <v>600</v>
      </c>
      <c r="D5" s="3">
        <f t="shared" si="0"/>
        <v>15000</v>
      </c>
      <c r="E5" s="52">
        <v>700</v>
      </c>
      <c r="F5" s="3">
        <f t="shared" si="1"/>
        <v>17500</v>
      </c>
    </row>
    <row r="6" spans="1:6" ht="15.75" customHeight="1" x14ac:dyDescent="0.15">
      <c r="A6" s="52" t="s">
        <v>150</v>
      </c>
      <c r="B6" s="52">
        <v>20</v>
      </c>
      <c r="C6" s="52">
        <v>900</v>
      </c>
      <c r="D6" s="3">
        <f t="shared" si="0"/>
        <v>18000</v>
      </c>
      <c r="E6" s="52">
        <v>1000</v>
      </c>
      <c r="F6" s="3">
        <f t="shared" si="1"/>
        <v>20000</v>
      </c>
    </row>
    <row r="7" spans="1:6" ht="15.75" customHeight="1" x14ac:dyDescent="0.15">
      <c r="A7" s="52" t="s">
        <v>9</v>
      </c>
      <c r="B7" s="52">
        <v>15</v>
      </c>
      <c r="C7" s="52">
        <v>1000</v>
      </c>
      <c r="D7" s="3">
        <f t="shared" si="0"/>
        <v>15000</v>
      </c>
      <c r="E7" s="52">
        <v>1200</v>
      </c>
      <c r="F7" s="3">
        <f t="shared" si="1"/>
        <v>18000</v>
      </c>
    </row>
    <row r="8" spans="1:6" ht="15.75" customHeight="1" x14ac:dyDescent="0.15">
      <c r="A8" s="52" t="s">
        <v>10</v>
      </c>
      <c r="B8" s="52">
        <v>20</v>
      </c>
      <c r="C8" s="52">
        <v>800</v>
      </c>
      <c r="D8" s="3">
        <f t="shared" si="0"/>
        <v>16000</v>
      </c>
      <c r="E8" s="52">
        <v>1000</v>
      </c>
      <c r="F8" s="3">
        <f t="shared" si="1"/>
        <v>20000</v>
      </c>
    </row>
    <row r="9" spans="1:6" ht="15.75" customHeight="1" x14ac:dyDescent="0.15">
      <c r="A9" s="52" t="s">
        <v>124</v>
      </c>
      <c r="B9" s="52">
        <v>15</v>
      </c>
      <c r="C9" s="52">
        <v>600</v>
      </c>
      <c r="D9" s="3">
        <f t="shared" si="0"/>
        <v>9000</v>
      </c>
      <c r="E9" s="52">
        <v>700</v>
      </c>
      <c r="F9" s="3">
        <f t="shared" si="1"/>
        <v>10500</v>
      </c>
    </row>
    <row r="10" spans="1:6" ht="15.75" customHeight="1" x14ac:dyDescent="0.15">
      <c r="A10" s="52" t="s">
        <v>180</v>
      </c>
      <c r="B10" s="52"/>
      <c r="C10" s="52">
        <v>500</v>
      </c>
      <c r="D10" s="3">
        <f t="shared" si="0"/>
        <v>0</v>
      </c>
      <c r="E10" s="52">
        <v>600</v>
      </c>
      <c r="F10" s="3">
        <f t="shared" si="1"/>
        <v>0</v>
      </c>
    </row>
    <row r="11" spans="1:6" ht="15.75" customHeight="1" x14ac:dyDescent="0.15">
      <c r="A11" s="52" t="s">
        <v>174</v>
      </c>
      <c r="B11" s="52">
        <v>12</v>
      </c>
      <c r="C11" s="52">
        <v>500</v>
      </c>
      <c r="D11" s="3">
        <f t="shared" si="0"/>
        <v>6000</v>
      </c>
      <c r="E11" s="52">
        <v>700</v>
      </c>
      <c r="F11" s="3">
        <f t="shared" si="1"/>
        <v>8400</v>
      </c>
    </row>
    <row r="12" spans="1:6" ht="15.75" customHeight="1" x14ac:dyDescent="0.15">
      <c r="A12" s="52" t="s">
        <v>11</v>
      </c>
      <c r="B12" s="52">
        <v>48</v>
      </c>
      <c r="C12" s="52">
        <v>300</v>
      </c>
      <c r="D12" s="3">
        <f t="shared" si="0"/>
        <v>14400</v>
      </c>
      <c r="E12" s="52">
        <v>500</v>
      </c>
      <c r="F12" s="3">
        <f t="shared" si="1"/>
        <v>24000</v>
      </c>
    </row>
    <row r="13" spans="1:6" ht="15.75" customHeight="1" x14ac:dyDescent="0.15">
      <c r="D13" s="4">
        <f>SUM(D3:D12)</f>
        <v>120900</v>
      </c>
      <c r="F13" s="4">
        <f>SUM(F3:F12)</f>
        <v>150900</v>
      </c>
    </row>
    <row r="14" spans="1:6" ht="15.75" customHeight="1" x14ac:dyDescent="0.15">
      <c r="E14" s="5" t="s">
        <v>141</v>
      </c>
      <c r="F14" s="53">
        <v>3300</v>
      </c>
    </row>
    <row r="15" spans="1:6" ht="15.75" customHeight="1" x14ac:dyDescent="0.15">
      <c r="E15" s="5" t="s">
        <v>12</v>
      </c>
      <c r="F15" s="6">
        <f>F13-D13-F14</f>
        <v>26700</v>
      </c>
    </row>
    <row r="16" spans="1:6" ht="15.75" customHeight="1" x14ac:dyDescent="0.15">
      <c r="E16" s="7"/>
    </row>
    <row r="17" spans="1:10" ht="15.75" customHeight="1" x14ac:dyDescent="0.15">
      <c r="E17" s="7" t="s">
        <v>13</v>
      </c>
    </row>
    <row r="18" spans="1:10" ht="15.75" customHeight="1" x14ac:dyDescent="0.15">
      <c r="E18" s="2" t="s">
        <v>14</v>
      </c>
      <c r="F18" s="54">
        <v>134000</v>
      </c>
    </row>
    <row r="19" spans="1:10" ht="15.75" customHeight="1" x14ac:dyDescent="0.15">
      <c r="A19" s="7" t="s">
        <v>19</v>
      </c>
      <c r="E19" s="2" t="s">
        <v>167</v>
      </c>
      <c r="F19" s="54">
        <v>5100</v>
      </c>
    </row>
    <row r="20" spans="1:10" ht="15.75" customHeight="1" x14ac:dyDescent="0.15">
      <c r="A20" s="52" t="s">
        <v>111</v>
      </c>
      <c r="B20" s="52"/>
      <c r="C20" s="54">
        <v>2900</v>
      </c>
      <c r="E20" s="2" t="s">
        <v>116</v>
      </c>
      <c r="F20" s="54">
        <f>3500</f>
        <v>3500</v>
      </c>
    </row>
    <row r="21" spans="1:10" ht="15.75" customHeight="1" x14ac:dyDescent="0.15">
      <c r="A21" s="52" t="s">
        <v>196</v>
      </c>
      <c r="B21" s="52"/>
      <c r="C21" s="54">
        <v>3300</v>
      </c>
      <c r="E21" s="2" t="s">
        <v>200</v>
      </c>
      <c r="F21" s="54">
        <f>E11*6</f>
        <v>4200</v>
      </c>
    </row>
    <row r="22" spans="1:10" ht="15.75" customHeight="1" x14ac:dyDescent="0.15">
      <c r="A22" s="52" t="s">
        <v>197</v>
      </c>
      <c r="B22" s="52"/>
      <c r="C22" s="54">
        <v>1500</v>
      </c>
      <c r="E22" s="2" t="str">
        <f>A19</f>
        <v>Not Paid</v>
      </c>
      <c r="F22" s="3">
        <f>C28</f>
        <v>9700</v>
      </c>
    </row>
    <row r="23" spans="1:10" ht="15.75" customHeight="1" x14ac:dyDescent="0.15">
      <c r="A23" s="52" t="s">
        <v>203</v>
      </c>
      <c r="B23" s="52"/>
      <c r="C23" s="54">
        <v>1500</v>
      </c>
      <c r="E23" s="2"/>
      <c r="F23" s="4"/>
    </row>
    <row r="24" spans="1:10" ht="15.75" customHeight="1" x14ac:dyDescent="0.15">
      <c r="A24" s="52" t="s">
        <v>32</v>
      </c>
      <c r="B24" s="52"/>
      <c r="C24" s="54">
        <v>500</v>
      </c>
      <c r="E24" s="2" t="s">
        <v>17</v>
      </c>
      <c r="F24" s="3">
        <f>SUM(F18:F23)</f>
        <v>156500</v>
      </c>
    </row>
    <row r="25" spans="1:10" ht="15.75" customHeight="1" x14ac:dyDescent="0.15">
      <c r="A25" s="52"/>
      <c r="B25" s="52"/>
      <c r="C25" s="54"/>
      <c r="E25" s="8" t="s">
        <v>152</v>
      </c>
      <c r="F25" s="47">
        <f>F13-F24</f>
        <v>-5600</v>
      </c>
    </row>
    <row r="26" spans="1:10" ht="15.75" customHeight="1" x14ac:dyDescent="0.15">
      <c r="A26" s="52"/>
      <c r="B26" s="52"/>
      <c r="C26" s="54"/>
    </row>
    <row r="27" spans="1:10" ht="15.75" customHeight="1" x14ac:dyDescent="0.15">
      <c r="A27" s="52"/>
      <c r="B27" s="52"/>
      <c r="C27" s="54"/>
      <c r="E27" s="7"/>
    </row>
    <row r="28" spans="1:10" ht="15.75" customHeight="1" x14ac:dyDescent="0.15">
      <c r="A28" s="2"/>
      <c r="B28" s="2"/>
      <c r="C28" s="3">
        <f>SUM(C20:C26)</f>
        <v>9700</v>
      </c>
      <c r="E28" s="68" t="s">
        <v>204</v>
      </c>
      <c r="F28" s="69"/>
      <c r="G28" s="69"/>
      <c r="H28" s="70" t="s">
        <v>210</v>
      </c>
      <c r="I28" s="55"/>
      <c r="J28" s="55"/>
    </row>
    <row r="29" spans="1:10" ht="15.75" customHeight="1" x14ac:dyDescent="0.15">
      <c r="C29" s="46"/>
      <c r="E29" s="69"/>
      <c r="F29" s="69"/>
      <c r="G29" s="69"/>
      <c r="H29" s="70"/>
      <c r="I29" s="55"/>
      <c r="J29" s="55"/>
    </row>
    <row r="30" spans="1:10" ht="15.75" customHeight="1" x14ac:dyDescent="0.15">
      <c r="E30" s="56" t="s">
        <v>205</v>
      </c>
    </row>
    <row r="31" spans="1:10" ht="15.75" customHeight="1" x14ac:dyDescent="0.15">
      <c r="E31" s="57" t="s">
        <v>206</v>
      </c>
    </row>
    <row r="32" spans="1:10" ht="15.75" customHeight="1" x14ac:dyDescent="0.15">
      <c r="E32" s="57" t="s">
        <v>207</v>
      </c>
    </row>
    <row r="34" spans="2:5" ht="15.75" customHeight="1" x14ac:dyDescent="0.15">
      <c r="B34" s="7"/>
    </row>
    <row r="36" spans="2:5" ht="15.75" customHeight="1" x14ac:dyDescent="0.15">
      <c r="E36" s="8"/>
    </row>
    <row r="37" spans="2:5" ht="15.75" customHeight="1" x14ac:dyDescent="0.15">
      <c r="B37" s="7"/>
    </row>
  </sheetData>
  <mergeCells count="2">
    <mergeCell ref="E28:G29"/>
    <mergeCell ref="H28:H2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A2FF-4D83-8B44-8964-46E439F218B3}">
  <dimension ref="A2:O41"/>
  <sheetViews>
    <sheetView zoomScale="244" workbookViewId="0">
      <selection activeCell="C17" sqref="A1:XFD1048576"/>
    </sheetView>
  </sheetViews>
  <sheetFormatPr baseColWidth="10" defaultColWidth="12.6640625" defaultRowHeight="15.75" customHeight="1" x14ac:dyDescent="0.15"/>
  <cols>
    <col min="2" max="2" width="4.6640625" customWidth="1"/>
    <col min="3" max="3" width="16.6640625" bestFit="1" customWidth="1"/>
    <col min="4" max="4" width="13.6640625" customWidth="1"/>
    <col min="5" max="5" width="19.1640625" customWidth="1"/>
  </cols>
  <sheetData>
    <row r="2" spans="1:15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J2" s="60"/>
      <c r="K2" s="60"/>
      <c r="L2" s="60"/>
      <c r="M2" s="60"/>
      <c r="N2" s="60"/>
      <c r="O2" s="60"/>
    </row>
    <row r="3" spans="1:15" ht="15.75" customHeight="1" x14ac:dyDescent="0.15">
      <c r="A3" s="52" t="s">
        <v>5</v>
      </c>
      <c r="B3" s="52">
        <v>25</v>
      </c>
      <c r="C3" s="52">
        <v>500</v>
      </c>
      <c r="D3" s="3">
        <f t="shared" ref="D3:D12" si="0">B3*C3</f>
        <v>12500</v>
      </c>
      <c r="E3" s="52">
        <v>600</v>
      </c>
      <c r="F3" s="3">
        <f t="shared" ref="F3:F12" si="1">B3*E3</f>
        <v>15000</v>
      </c>
      <c r="J3" s="61"/>
      <c r="K3" s="61"/>
      <c r="L3" s="61"/>
      <c r="M3" s="62"/>
      <c r="N3" s="61"/>
      <c r="O3" s="62"/>
    </row>
    <row r="4" spans="1:15" ht="15.75" customHeight="1" x14ac:dyDescent="0.15">
      <c r="A4" s="52" t="s">
        <v>6</v>
      </c>
      <c r="B4" s="52">
        <v>25</v>
      </c>
      <c r="C4" s="52">
        <v>600</v>
      </c>
      <c r="D4" s="3">
        <f t="shared" si="0"/>
        <v>15000</v>
      </c>
      <c r="E4" s="52">
        <v>700</v>
      </c>
      <c r="F4" s="3">
        <f t="shared" si="1"/>
        <v>17500</v>
      </c>
      <c r="J4" s="61"/>
      <c r="K4" s="61"/>
      <c r="L4" s="61"/>
      <c r="M4" s="62"/>
      <c r="N4" s="61"/>
      <c r="O4" s="62"/>
    </row>
    <row r="5" spans="1:15" ht="15.75" customHeight="1" x14ac:dyDescent="0.15">
      <c r="A5" s="52" t="s">
        <v>7</v>
      </c>
      <c r="B5" s="52">
        <v>25</v>
      </c>
      <c r="C5" s="52">
        <v>600</v>
      </c>
      <c r="D5" s="3">
        <f t="shared" si="0"/>
        <v>15000</v>
      </c>
      <c r="E5" s="52">
        <v>700</v>
      </c>
      <c r="F5" s="3">
        <f t="shared" si="1"/>
        <v>17500</v>
      </c>
      <c r="J5" s="61"/>
      <c r="K5" s="61"/>
      <c r="L5" s="62"/>
      <c r="M5" s="62"/>
      <c r="N5" s="62"/>
      <c r="O5" s="62"/>
    </row>
    <row r="6" spans="1:15" ht="15.75" customHeight="1" x14ac:dyDescent="0.15">
      <c r="A6" s="52" t="s">
        <v>150</v>
      </c>
      <c r="B6" s="52">
        <v>16</v>
      </c>
      <c r="C6" s="52">
        <v>900</v>
      </c>
      <c r="D6" s="3">
        <f t="shared" si="0"/>
        <v>14400</v>
      </c>
      <c r="E6" s="52">
        <v>1000</v>
      </c>
      <c r="F6" s="3">
        <f t="shared" si="1"/>
        <v>16000</v>
      </c>
      <c r="J6" s="61"/>
      <c r="K6" s="61"/>
      <c r="L6" s="61"/>
      <c r="M6" s="62"/>
      <c r="N6" s="62"/>
      <c r="O6" s="62"/>
    </row>
    <row r="7" spans="1:15" ht="15.75" customHeight="1" x14ac:dyDescent="0.15">
      <c r="A7" s="52" t="s">
        <v>9</v>
      </c>
      <c r="B7" s="52">
        <v>15</v>
      </c>
      <c r="C7" s="52">
        <v>1000</v>
      </c>
      <c r="D7" s="3">
        <f t="shared" si="0"/>
        <v>15000</v>
      </c>
      <c r="E7" s="52">
        <v>1200</v>
      </c>
      <c r="F7" s="3">
        <f t="shared" si="1"/>
        <v>18000</v>
      </c>
      <c r="J7" s="61"/>
      <c r="K7" s="61"/>
      <c r="L7" s="61"/>
      <c r="M7" s="62"/>
      <c r="N7" s="61"/>
      <c r="O7" s="62"/>
    </row>
    <row r="8" spans="1:15" ht="15.75" customHeight="1" x14ac:dyDescent="0.15">
      <c r="A8" s="52" t="s">
        <v>10</v>
      </c>
      <c r="B8" s="52">
        <v>20</v>
      </c>
      <c r="C8" s="52">
        <v>800</v>
      </c>
      <c r="D8" s="3">
        <f t="shared" si="0"/>
        <v>16000</v>
      </c>
      <c r="E8" s="52">
        <v>1000</v>
      </c>
      <c r="F8" s="3">
        <f t="shared" si="1"/>
        <v>20000</v>
      </c>
      <c r="J8" s="61"/>
      <c r="K8" s="61"/>
      <c r="L8" s="61"/>
      <c r="M8" s="62"/>
      <c r="N8" s="61"/>
      <c r="O8" s="62"/>
    </row>
    <row r="9" spans="1:15" ht="15.75" customHeight="1" x14ac:dyDescent="0.15">
      <c r="A9" s="52" t="s">
        <v>124</v>
      </c>
      <c r="B9" s="52">
        <v>15</v>
      </c>
      <c r="C9" s="52">
        <v>600</v>
      </c>
      <c r="D9" s="3">
        <f t="shared" si="0"/>
        <v>9000</v>
      </c>
      <c r="E9" s="52">
        <v>700</v>
      </c>
      <c r="F9" s="3">
        <f t="shared" si="1"/>
        <v>10500</v>
      </c>
      <c r="J9" s="61"/>
      <c r="K9" s="61"/>
      <c r="L9" s="61"/>
      <c r="M9" s="62"/>
      <c r="N9" s="61"/>
      <c r="O9" s="62"/>
    </row>
    <row r="10" spans="1:15" ht="15.75" customHeight="1" x14ac:dyDescent="0.15">
      <c r="A10" s="52" t="s">
        <v>180</v>
      </c>
      <c r="B10" s="52"/>
      <c r="C10" s="52">
        <v>500</v>
      </c>
      <c r="D10" s="3">
        <f t="shared" si="0"/>
        <v>0</v>
      </c>
      <c r="E10" s="52">
        <v>600</v>
      </c>
      <c r="F10" s="3">
        <f t="shared" si="1"/>
        <v>0</v>
      </c>
      <c r="J10" s="61"/>
      <c r="K10" s="61"/>
      <c r="L10" s="61"/>
      <c r="M10" s="62"/>
      <c r="N10" s="61"/>
      <c r="O10" s="62"/>
    </row>
    <row r="11" spans="1:15" ht="15.75" customHeight="1" x14ac:dyDescent="0.15">
      <c r="A11" s="52" t="s">
        <v>174</v>
      </c>
      <c r="B11" s="52">
        <v>12</v>
      </c>
      <c r="C11" s="52">
        <v>500</v>
      </c>
      <c r="D11" s="3">
        <f t="shared" si="0"/>
        <v>6000</v>
      </c>
      <c r="E11" s="52">
        <v>700</v>
      </c>
      <c r="F11" s="3">
        <f t="shared" si="1"/>
        <v>8400</v>
      </c>
      <c r="J11" s="61"/>
      <c r="K11" s="61"/>
      <c r="L11" s="61"/>
      <c r="M11" s="62"/>
      <c r="N11" s="62"/>
      <c r="O11" s="62"/>
    </row>
    <row r="12" spans="1:15" ht="15.75" customHeight="1" x14ac:dyDescent="0.15">
      <c r="A12" s="52" t="s">
        <v>11</v>
      </c>
      <c r="B12" s="52">
        <v>48</v>
      </c>
      <c r="C12" s="52">
        <v>300</v>
      </c>
      <c r="D12" s="3">
        <f t="shared" si="0"/>
        <v>14400</v>
      </c>
      <c r="E12" s="52">
        <v>500</v>
      </c>
      <c r="F12" s="3">
        <f t="shared" si="1"/>
        <v>24000</v>
      </c>
      <c r="J12" s="60"/>
      <c r="M12" s="63"/>
      <c r="O12" s="63"/>
    </row>
    <row r="13" spans="1:15" ht="15.75" customHeight="1" x14ac:dyDescent="0.15">
      <c r="A13" s="71" t="s">
        <v>211</v>
      </c>
      <c r="B13" s="71"/>
      <c r="C13" s="71"/>
      <c r="D13" s="4"/>
      <c r="E13" s="64"/>
      <c r="F13" s="4"/>
      <c r="J13" s="60"/>
      <c r="M13" s="63"/>
      <c r="O13" s="63"/>
    </row>
    <row r="14" spans="1:15" ht="15.75" customHeight="1" x14ac:dyDescent="0.15">
      <c r="A14" s="52" t="s">
        <v>9</v>
      </c>
      <c r="B14" s="52">
        <v>1</v>
      </c>
      <c r="C14" s="52">
        <v>1000</v>
      </c>
      <c r="D14" s="3">
        <f t="shared" ref="D14:D16" si="2">B14*C14</f>
        <v>1000</v>
      </c>
      <c r="E14" s="52">
        <v>1200</v>
      </c>
      <c r="F14" s="3">
        <f t="shared" ref="F14:F16" si="3">B14*E14</f>
        <v>1200</v>
      </c>
      <c r="J14" s="60"/>
      <c r="M14" s="63"/>
      <c r="O14" s="63"/>
    </row>
    <row r="15" spans="1:15" ht="15.75" customHeight="1" x14ac:dyDescent="0.15">
      <c r="A15" s="52" t="s">
        <v>10</v>
      </c>
      <c r="B15" s="52">
        <v>1</v>
      </c>
      <c r="C15" s="65">
        <v>800</v>
      </c>
      <c r="D15" s="3">
        <f t="shared" si="2"/>
        <v>800</v>
      </c>
      <c r="E15" s="52">
        <v>1000</v>
      </c>
      <c r="F15" s="3">
        <f t="shared" si="3"/>
        <v>1000</v>
      </c>
      <c r="J15" s="60"/>
      <c r="M15" s="63"/>
      <c r="O15" s="63"/>
    </row>
    <row r="16" spans="1:15" ht="15.75" customHeight="1" x14ac:dyDescent="0.15">
      <c r="A16" s="52" t="s">
        <v>7</v>
      </c>
      <c r="B16" s="52">
        <v>3</v>
      </c>
      <c r="C16" s="65">
        <v>600</v>
      </c>
      <c r="D16" s="3">
        <f t="shared" si="2"/>
        <v>1800</v>
      </c>
      <c r="E16" s="52">
        <v>700</v>
      </c>
      <c r="F16" s="3">
        <f t="shared" si="3"/>
        <v>2100</v>
      </c>
      <c r="J16" s="60"/>
      <c r="M16" s="63"/>
      <c r="O16" s="63"/>
    </row>
    <row r="17" spans="1:7" ht="15.75" customHeight="1" x14ac:dyDescent="0.15">
      <c r="D17" s="4">
        <f>SUM(D3:D16)</f>
        <v>120900</v>
      </c>
      <c r="F17" s="4">
        <f>SUM(F3:F16)</f>
        <v>151200</v>
      </c>
    </row>
    <row r="18" spans="1:7" ht="15.75" customHeight="1" x14ac:dyDescent="0.15">
      <c r="E18" s="5" t="s">
        <v>141</v>
      </c>
      <c r="F18" s="53">
        <v>0</v>
      </c>
    </row>
    <row r="19" spans="1:7" ht="15.75" customHeight="1" x14ac:dyDescent="0.15">
      <c r="E19" s="5" t="s">
        <v>12</v>
      </c>
      <c r="F19" s="6">
        <f>F17-D17-F18</f>
        <v>30300</v>
      </c>
    </row>
    <row r="20" spans="1:7" ht="15.75" customHeight="1" x14ac:dyDescent="0.15">
      <c r="E20" s="7"/>
    </row>
    <row r="21" spans="1:7" ht="15.75" customHeight="1" x14ac:dyDescent="0.15">
      <c r="E21" s="7" t="s">
        <v>13</v>
      </c>
    </row>
    <row r="22" spans="1:7" ht="15.75" customHeight="1" x14ac:dyDescent="0.15">
      <c r="E22" s="2" t="s">
        <v>14</v>
      </c>
      <c r="F22" s="54">
        <v>120000</v>
      </c>
    </row>
    <row r="23" spans="1:7" ht="15.75" customHeight="1" x14ac:dyDescent="0.15">
      <c r="A23" s="7" t="s">
        <v>19</v>
      </c>
      <c r="E23" s="2" t="s">
        <v>167</v>
      </c>
      <c r="F23" s="54">
        <v>800</v>
      </c>
    </row>
    <row r="24" spans="1:7" ht="15.75" customHeight="1" x14ac:dyDescent="0.15">
      <c r="A24" s="52" t="s">
        <v>111</v>
      </c>
      <c r="B24" s="52"/>
      <c r="C24" s="54">
        <v>3000</v>
      </c>
      <c r="E24" s="2" t="s">
        <v>116</v>
      </c>
      <c r="F24" s="54">
        <v>1400</v>
      </c>
    </row>
    <row r="25" spans="1:7" ht="15.75" customHeight="1" x14ac:dyDescent="0.15">
      <c r="A25" s="52" t="s">
        <v>197</v>
      </c>
      <c r="B25" s="52"/>
      <c r="C25" s="54">
        <v>1500</v>
      </c>
      <c r="E25" s="2" t="s">
        <v>200</v>
      </c>
      <c r="F25" s="54">
        <f>E11*6</f>
        <v>4200</v>
      </c>
    </row>
    <row r="26" spans="1:7" ht="15.75" customHeight="1" x14ac:dyDescent="0.15">
      <c r="A26" s="52" t="s">
        <v>32</v>
      </c>
      <c r="B26" s="52"/>
      <c r="C26" s="54">
        <v>3600</v>
      </c>
      <c r="E26" s="2" t="str">
        <f>A23</f>
        <v>Not Paid</v>
      </c>
      <c r="F26" s="3">
        <f ca="1">C28</f>
        <v>9800</v>
      </c>
    </row>
    <row r="27" spans="1:7" ht="15.75" customHeight="1" x14ac:dyDescent="0.15">
      <c r="A27" s="65" t="s">
        <v>40</v>
      </c>
      <c r="B27" s="52"/>
      <c r="C27" s="54">
        <v>1700</v>
      </c>
      <c r="E27" s="2"/>
      <c r="F27" s="4"/>
    </row>
    <row r="28" spans="1:7" ht="15.75" customHeight="1" x14ac:dyDescent="0.15">
      <c r="A28" s="2"/>
      <c r="B28" s="2"/>
      <c r="C28" s="3">
        <f ca="1">SUM(C24:C30)</f>
        <v>9800</v>
      </c>
      <c r="E28" s="2" t="s">
        <v>17</v>
      </c>
      <c r="F28" s="3">
        <f ca="1">SUM(F22:F27)</f>
        <v>136200</v>
      </c>
    </row>
    <row r="29" spans="1:7" ht="15.75" customHeight="1" x14ac:dyDescent="0.15">
      <c r="E29" s="8" t="s">
        <v>152</v>
      </c>
      <c r="F29" s="47">
        <f ca="1">F17-F28</f>
        <v>15000</v>
      </c>
    </row>
    <row r="31" spans="1:7" ht="15.75" customHeight="1" x14ac:dyDescent="0.15">
      <c r="E31" s="7"/>
    </row>
    <row r="32" spans="1:7" ht="15.75" customHeight="1" x14ac:dyDescent="0.15">
      <c r="E32" s="68"/>
      <c r="F32" s="69"/>
      <c r="G32" s="69"/>
    </row>
    <row r="33" spans="2:7" ht="15.75" customHeight="1" x14ac:dyDescent="0.15">
      <c r="E33" s="69"/>
      <c r="F33" s="69"/>
      <c r="G33" s="69"/>
    </row>
    <row r="34" spans="2:7" ht="15.75" customHeight="1" x14ac:dyDescent="0.15">
      <c r="E34" s="56"/>
    </row>
    <row r="35" spans="2:7" ht="15.75" customHeight="1" x14ac:dyDescent="0.15">
      <c r="E35" s="57"/>
    </row>
    <row r="36" spans="2:7" ht="15.75" customHeight="1" x14ac:dyDescent="0.15">
      <c r="E36" s="57"/>
    </row>
    <row r="38" spans="2:7" ht="15.75" customHeight="1" x14ac:dyDescent="0.15">
      <c r="B38" s="7"/>
    </row>
    <row r="40" spans="2:7" ht="15.75" customHeight="1" x14ac:dyDescent="0.15">
      <c r="E40" s="8"/>
    </row>
    <row r="41" spans="2:7" ht="15.75" customHeight="1" x14ac:dyDescent="0.15">
      <c r="B41" s="7"/>
    </row>
  </sheetData>
  <mergeCells count="2">
    <mergeCell ref="E32:G33"/>
    <mergeCell ref="A13:C1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BE46-0527-F646-8CE8-D5EA29D5E40A}">
  <dimension ref="A2:O38"/>
  <sheetViews>
    <sheetView zoomScale="186" workbookViewId="0">
      <selection activeCell="E28" sqref="E28"/>
    </sheetView>
  </sheetViews>
  <sheetFormatPr baseColWidth="10" defaultColWidth="12.6640625" defaultRowHeight="15.75" customHeight="1" x14ac:dyDescent="0.15"/>
  <cols>
    <col min="2" max="2" width="4.6640625" customWidth="1"/>
    <col min="3" max="3" width="16.6640625" bestFit="1" customWidth="1"/>
    <col min="4" max="4" width="13.6640625" customWidth="1"/>
    <col min="5" max="5" width="19.1640625" customWidth="1"/>
  </cols>
  <sheetData>
    <row r="2" spans="1:15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  <c r="J2" s="60"/>
      <c r="K2" s="60"/>
      <c r="L2" s="60"/>
      <c r="M2" s="60"/>
      <c r="N2" s="60"/>
      <c r="O2" s="60"/>
    </row>
    <row r="3" spans="1:15" ht="15.75" customHeight="1" x14ac:dyDescent="0.15">
      <c r="A3" s="52" t="s">
        <v>5</v>
      </c>
      <c r="B3" s="52">
        <v>25</v>
      </c>
      <c r="C3" s="52">
        <v>500</v>
      </c>
      <c r="D3" s="3">
        <f t="shared" ref="D3:D12" si="0">B3*C3</f>
        <v>12500</v>
      </c>
      <c r="E3" s="52">
        <v>600</v>
      </c>
      <c r="F3" s="3">
        <f t="shared" ref="F3:F12" si="1">B3*E3</f>
        <v>15000</v>
      </c>
      <c r="J3" s="61"/>
      <c r="K3" s="61"/>
      <c r="L3" s="61"/>
      <c r="M3" s="62"/>
      <c r="N3" s="61"/>
      <c r="O3" s="62"/>
    </row>
    <row r="4" spans="1:15" ht="15.75" customHeight="1" x14ac:dyDescent="0.15">
      <c r="A4" s="52" t="s">
        <v>6</v>
      </c>
      <c r="B4" s="52">
        <v>25</v>
      </c>
      <c r="C4" s="52">
        <v>600</v>
      </c>
      <c r="D4" s="3">
        <f t="shared" si="0"/>
        <v>15000</v>
      </c>
      <c r="E4" s="52">
        <v>700</v>
      </c>
      <c r="F4" s="3">
        <f t="shared" si="1"/>
        <v>17500</v>
      </c>
      <c r="J4" s="61"/>
      <c r="K4" s="61"/>
      <c r="L4" s="61"/>
      <c r="M4" s="62"/>
      <c r="N4" s="61"/>
      <c r="O4" s="62"/>
    </row>
    <row r="5" spans="1:15" ht="15.75" customHeight="1" x14ac:dyDescent="0.15">
      <c r="A5" s="52" t="s">
        <v>7</v>
      </c>
      <c r="B5" s="52">
        <v>25</v>
      </c>
      <c r="C5" s="52">
        <v>600</v>
      </c>
      <c r="D5" s="3">
        <f t="shared" si="0"/>
        <v>15000</v>
      </c>
      <c r="E5" s="52">
        <v>700</v>
      </c>
      <c r="F5" s="3">
        <f t="shared" si="1"/>
        <v>17500</v>
      </c>
      <c r="J5" s="61"/>
      <c r="K5" s="61"/>
      <c r="L5" s="62"/>
      <c r="M5" s="62"/>
      <c r="N5" s="62"/>
      <c r="O5" s="62"/>
    </row>
    <row r="6" spans="1:15" ht="15.75" customHeight="1" x14ac:dyDescent="0.15">
      <c r="A6" s="52" t="s">
        <v>150</v>
      </c>
      <c r="B6" s="52">
        <v>20</v>
      </c>
      <c r="C6" s="52">
        <v>900</v>
      </c>
      <c r="D6" s="3">
        <f t="shared" si="0"/>
        <v>18000</v>
      </c>
      <c r="E6" s="52">
        <v>1000</v>
      </c>
      <c r="F6" s="3">
        <f t="shared" si="1"/>
        <v>20000</v>
      </c>
      <c r="J6" s="61"/>
      <c r="K6" s="61"/>
      <c r="L6" s="61"/>
      <c r="M6" s="62"/>
      <c r="N6" s="62"/>
      <c r="O6" s="62"/>
    </row>
    <row r="7" spans="1:15" ht="15.75" customHeight="1" x14ac:dyDescent="0.15">
      <c r="A7" s="52" t="s">
        <v>9</v>
      </c>
      <c r="B7" s="52">
        <v>20</v>
      </c>
      <c r="C7" s="52">
        <v>1000</v>
      </c>
      <c r="D7" s="3">
        <f t="shared" si="0"/>
        <v>20000</v>
      </c>
      <c r="E7" s="52">
        <v>1200</v>
      </c>
      <c r="F7" s="3">
        <f t="shared" si="1"/>
        <v>24000</v>
      </c>
      <c r="J7" s="61"/>
      <c r="K7" s="61"/>
      <c r="L7" s="61"/>
      <c r="M7" s="62"/>
      <c r="N7" s="61"/>
      <c r="O7" s="62"/>
    </row>
    <row r="8" spans="1:15" ht="15.75" customHeight="1" x14ac:dyDescent="0.15">
      <c r="A8" s="52" t="s">
        <v>10</v>
      </c>
      <c r="B8" s="52">
        <v>25</v>
      </c>
      <c r="C8" s="52">
        <v>800</v>
      </c>
      <c r="D8" s="3">
        <f t="shared" si="0"/>
        <v>20000</v>
      </c>
      <c r="E8" s="52">
        <v>1000</v>
      </c>
      <c r="F8" s="3">
        <f t="shared" si="1"/>
        <v>25000</v>
      </c>
      <c r="J8" s="61"/>
      <c r="K8" s="61"/>
      <c r="L8" s="61"/>
      <c r="M8" s="62"/>
      <c r="N8" s="61"/>
      <c r="O8" s="62"/>
    </row>
    <row r="9" spans="1:15" ht="15.75" customHeight="1" x14ac:dyDescent="0.15">
      <c r="A9" s="52" t="s">
        <v>124</v>
      </c>
      <c r="B9" s="52">
        <v>15</v>
      </c>
      <c r="C9" s="52">
        <v>600</v>
      </c>
      <c r="D9" s="3">
        <f t="shared" si="0"/>
        <v>9000</v>
      </c>
      <c r="E9" s="52">
        <v>700</v>
      </c>
      <c r="F9" s="3">
        <f t="shared" si="1"/>
        <v>10500</v>
      </c>
      <c r="J9" s="61"/>
      <c r="K9" s="61"/>
      <c r="L9" s="61"/>
      <c r="M9" s="62"/>
      <c r="N9" s="61"/>
      <c r="O9" s="62"/>
    </row>
    <row r="10" spans="1:15" ht="15.75" customHeight="1" x14ac:dyDescent="0.15">
      <c r="A10" s="52" t="s">
        <v>180</v>
      </c>
      <c r="B10" s="52">
        <v>12</v>
      </c>
      <c r="C10" s="52">
        <v>500</v>
      </c>
      <c r="D10" s="3">
        <f t="shared" si="0"/>
        <v>6000</v>
      </c>
      <c r="E10" s="52">
        <v>600</v>
      </c>
      <c r="F10" s="3">
        <f t="shared" si="1"/>
        <v>7200</v>
      </c>
      <c r="J10" s="61"/>
      <c r="K10" s="61"/>
      <c r="L10" s="61"/>
      <c r="M10" s="62"/>
      <c r="N10" s="61"/>
      <c r="O10" s="62"/>
    </row>
    <row r="11" spans="1:15" ht="15.75" customHeight="1" x14ac:dyDescent="0.15">
      <c r="A11" s="52" t="s">
        <v>174</v>
      </c>
      <c r="B11" s="52">
        <v>24</v>
      </c>
      <c r="C11" s="52">
        <v>500</v>
      </c>
      <c r="D11" s="3">
        <f t="shared" si="0"/>
        <v>12000</v>
      </c>
      <c r="E11" s="52">
        <v>700</v>
      </c>
      <c r="F11" s="3">
        <f t="shared" si="1"/>
        <v>16800</v>
      </c>
      <c r="J11" s="61"/>
      <c r="K11" s="61"/>
      <c r="L11" s="61"/>
      <c r="M11" s="62"/>
      <c r="N11" s="62"/>
      <c r="O11" s="62"/>
    </row>
    <row r="12" spans="1:15" ht="15.75" customHeight="1" x14ac:dyDescent="0.15">
      <c r="A12" s="52" t="s">
        <v>11</v>
      </c>
      <c r="B12" s="52">
        <v>48</v>
      </c>
      <c r="C12" s="52">
        <v>300</v>
      </c>
      <c r="D12" s="3">
        <f t="shared" si="0"/>
        <v>14400</v>
      </c>
      <c r="E12" s="52">
        <v>500</v>
      </c>
      <c r="F12" s="3">
        <f t="shared" si="1"/>
        <v>24000</v>
      </c>
      <c r="J12" s="60"/>
      <c r="M12" s="63"/>
      <c r="O12" s="63"/>
    </row>
    <row r="13" spans="1:15" ht="15.75" customHeight="1" x14ac:dyDescent="0.15">
      <c r="A13" s="71"/>
      <c r="B13" s="71"/>
      <c r="C13" s="71"/>
      <c r="D13" s="4"/>
      <c r="E13" s="64"/>
      <c r="F13" s="4"/>
      <c r="J13" s="60"/>
      <c r="M13" s="63"/>
      <c r="O13" s="63"/>
    </row>
    <row r="14" spans="1:15" ht="15.75" customHeight="1" x14ac:dyDescent="0.15">
      <c r="D14" s="4">
        <f>SUM(D3:D13)</f>
        <v>141900</v>
      </c>
      <c r="F14" s="4">
        <f>SUM(F3:F13)</f>
        <v>177500</v>
      </c>
    </row>
    <row r="15" spans="1:15" ht="15.75" customHeight="1" x14ac:dyDescent="0.15">
      <c r="E15" s="5" t="s">
        <v>141</v>
      </c>
      <c r="F15" s="53">
        <v>2500</v>
      </c>
    </row>
    <row r="16" spans="1:15" ht="15.75" customHeight="1" x14ac:dyDescent="0.15">
      <c r="E16" s="5" t="s">
        <v>12</v>
      </c>
      <c r="F16" s="6">
        <f>F14-D14-F15</f>
        <v>33100</v>
      </c>
    </row>
    <row r="17" spans="1:7" ht="15.75" customHeight="1" x14ac:dyDescent="0.15">
      <c r="E17" s="7"/>
    </row>
    <row r="18" spans="1:7" ht="15.75" customHeight="1" x14ac:dyDescent="0.15">
      <c r="E18" s="7" t="s">
        <v>13</v>
      </c>
    </row>
    <row r="19" spans="1:7" ht="15.75" customHeight="1" x14ac:dyDescent="0.15">
      <c r="E19" s="2" t="s">
        <v>14</v>
      </c>
      <c r="F19" s="54">
        <v>75000</v>
      </c>
    </row>
    <row r="20" spans="1:7" ht="15.75" customHeight="1" x14ac:dyDescent="0.15">
      <c r="A20" s="7" t="s">
        <v>19</v>
      </c>
      <c r="E20" s="2" t="s">
        <v>167</v>
      </c>
      <c r="F20" s="54">
        <v>0</v>
      </c>
    </row>
    <row r="21" spans="1:7" ht="15.75" customHeight="1" x14ac:dyDescent="0.15">
      <c r="A21" s="52" t="s">
        <v>215</v>
      </c>
      <c r="B21" s="52"/>
      <c r="C21" s="54">
        <v>6200</v>
      </c>
      <c r="E21" s="2" t="s">
        <v>116</v>
      </c>
      <c r="F21" s="54">
        <v>35000</v>
      </c>
    </row>
    <row r="22" spans="1:7" ht="15.75" customHeight="1" x14ac:dyDescent="0.15">
      <c r="A22" s="52" t="s">
        <v>170</v>
      </c>
      <c r="B22" s="52"/>
      <c r="C22" s="54">
        <v>1700</v>
      </c>
      <c r="E22" s="2" t="s">
        <v>200</v>
      </c>
      <c r="F22" s="54">
        <v>2800</v>
      </c>
    </row>
    <row r="23" spans="1:7" ht="15.75" customHeight="1" x14ac:dyDescent="0.15">
      <c r="A23" s="52" t="s">
        <v>216</v>
      </c>
      <c r="B23" s="52"/>
      <c r="C23" s="54">
        <v>2100</v>
      </c>
      <c r="E23" s="2" t="str">
        <f>A20</f>
        <v>Not Paid</v>
      </c>
      <c r="F23" s="3">
        <f>C25</f>
        <v>1400</v>
      </c>
    </row>
    <row r="24" spans="1:7" ht="15.75" customHeight="1" x14ac:dyDescent="0.15">
      <c r="A24" s="52" t="s">
        <v>40</v>
      </c>
      <c r="B24" s="52"/>
      <c r="C24" s="54">
        <v>2400</v>
      </c>
      <c r="E24" s="2"/>
      <c r="F24" s="4"/>
    </row>
    <row r="25" spans="1:7" ht="15.75" customHeight="1" x14ac:dyDescent="0.15">
      <c r="A25" s="52" t="s">
        <v>217</v>
      </c>
      <c r="B25" s="52"/>
      <c r="C25" s="54">
        <v>1400</v>
      </c>
      <c r="E25" s="2" t="s">
        <v>17</v>
      </c>
      <c r="F25" s="3">
        <f>SUM(F19:F24)</f>
        <v>114200</v>
      </c>
    </row>
    <row r="26" spans="1:7" ht="15.75" customHeight="1" x14ac:dyDescent="0.15">
      <c r="E26" s="8" t="s">
        <v>152</v>
      </c>
      <c r="F26" s="47">
        <f>F14-F25</f>
        <v>63300</v>
      </c>
    </row>
    <row r="28" spans="1:7" ht="15.75" customHeight="1" x14ac:dyDescent="0.15">
      <c r="E28" s="7"/>
    </row>
    <row r="29" spans="1:7" ht="15.75" customHeight="1" x14ac:dyDescent="0.15">
      <c r="E29" s="68"/>
      <c r="F29" s="69"/>
      <c r="G29" s="69"/>
    </row>
    <row r="30" spans="1:7" ht="15.75" customHeight="1" x14ac:dyDescent="0.15">
      <c r="E30" s="69"/>
      <c r="F30" s="69"/>
      <c r="G30" s="69"/>
    </row>
    <row r="31" spans="1:7" ht="15.75" customHeight="1" x14ac:dyDescent="0.15">
      <c r="E31" s="56"/>
    </row>
    <row r="32" spans="1:7" ht="15.75" customHeight="1" x14ac:dyDescent="0.15">
      <c r="E32" s="57"/>
    </row>
    <row r="33" spans="2:5" ht="15.75" customHeight="1" x14ac:dyDescent="0.15">
      <c r="E33" s="57"/>
    </row>
    <row r="35" spans="2:5" ht="15.75" customHeight="1" x14ac:dyDescent="0.15">
      <c r="B35" s="7"/>
    </row>
    <row r="37" spans="2:5" ht="15.75" customHeight="1" x14ac:dyDescent="0.15">
      <c r="E37" s="8"/>
    </row>
    <row r="38" spans="2:5" ht="15.75" customHeight="1" x14ac:dyDescent="0.15">
      <c r="B38" s="7"/>
    </row>
  </sheetData>
  <mergeCells count="2">
    <mergeCell ref="A13:C13"/>
    <mergeCell ref="E29:G3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0CD6-2726-064D-BE81-7D67C1C77921}">
  <dimension ref="A2:G32"/>
  <sheetViews>
    <sheetView tabSelected="1" zoomScale="200" workbookViewId="0">
      <selection activeCell="D11" sqref="D11"/>
    </sheetView>
  </sheetViews>
  <sheetFormatPr baseColWidth="10" defaultRowHeight="13" x14ac:dyDescent="0.15"/>
  <cols>
    <col min="3" max="3" width="16.6640625" bestFit="1" customWidth="1"/>
    <col min="5" max="5" width="16" bestFit="1" customWidth="1"/>
  </cols>
  <sheetData>
    <row r="2" spans="1:6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</v>
      </c>
    </row>
    <row r="3" spans="1:6" x14ac:dyDescent="0.15">
      <c r="A3" s="66" t="s">
        <v>5</v>
      </c>
      <c r="B3" s="67">
        <v>25</v>
      </c>
      <c r="C3" s="52">
        <v>500</v>
      </c>
      <c r="D3" s="3">
        <f t="shared" ref="D3:D11" si="0">B3*C3</f>
        <v>12500</v>
      </c>
      <c r="E3" s="52">
        <v>600</v>
      </c>
      <c r="F3" s="3">
        <f t="shared" ref="F3:F12" si="1">B3*E3</f>
        <v>15000</v>
      </c>
    </row>
    <row r="4" spans="1:6" x14ac:dyDescent="0.15">
      <c r="A4" s="66" t="s">
        <v>6</v>
      </c>
      <c r="B4" s="67">
        <v>20</v>
      </c>
      <c r="C4" s="52">
        <v>600</v>
      </c>
      <c r="D4" s="3">
        <f t="shared" si="0"/>
        <v>12000</v>
      </c>
      <c r="E4" s="52">
        <v>700</v>
      </c>
      <c r="F4" s="3">
        <f t="shared" si="1"/>
        <v>14000</v>
      </c>
    </row>
    <row r="5" spans="1:6" x14ac:dyDescent="0.15">
      <c r="A5" s="66" t="s">
        <v>7</v>
      </c>
      <c r="B5" s="67">
        <v>25</v>
      </c>
      <c r="C5" s="52">
        <v>600</v>
      </c>
      <c r="D5" s="3">
        <f t="shared" si="0"/>
        <v>15000</v>
      </c>
      <c r="E5" s="52">
        <v>700</v>
      </c>
      <c r="F5" s="3">
        <f t="shared" si="1"/>
        <v>17500</v>
      </c>
    </row>
    <row r="6" spans="1:6" x14ac:dyDescent="0.15">
      <c r="A6" s="66" t="s">
        <v>150</v>
      </c>
      <c r="B6" s="67">
        <v>18</v>
      </c>
      <c r="C6" s="52">
        <v>900</v>
      </c>
      <c r="D6" s="3">
        <f t="shared" si="0"/>
        <v>16200</v>
      </c>
      <c r="E6" s="52">
        <v>1000</v>
      </c>
      <c r="F6" s="3">
        <f t="shared" si="1"/>
        <v>18000</v>
      </c>
    </row>
    <row r="7" spans="1:6" x14ac:dyDescent="0.15">
      <c r="A7" s="66" t="s">
        <v>9</v>
      </c>
      <c r="B7" s="67">
        <v>20</v>
      </c>
      <c r="C7" s="52">
        <v>1000</v>
      </c>
      <c r="D7" s="3">
        <f t="shared" si="0"/>
        <v>20000</v>
      </c>
      <c r="E7" s="52">
        <v>1200</v>
      </c>
      <c r="F7" s="3">
        <f t="shared" si="1"/>
        <v>24000</v>
      </c>
    </row>
    <row r="8" spans="1:6" x14ac:dyDescent="0.15">
      <c r="A8" s="66" t="s">
        <v>10</v>
      </c>
      <c r="B8" s="67">
        <v>25</v>
      </c>
      <c r="C8" s="52">
        <v>800</v>
      </c>
      <c r="D8" s="3">
        <f t="shared" si="0"/>
        <v>20000</v>
      </c>
      <c r="E8" s="52">
        <v>1000</v>
      </c>
      <c r="F8" s="3">
        <f t="shared" si="1"/>
        <v>25000</v>
      </c>
    </row>
    <row r="9" spans="1:6" x14ac:dyDescent="0.15">
      <c r="A9" s="66" t="s">
        <v>124</v>
      </c>
      <c r="B9" s="67">
        <v>15</v>
      </c>
      <c r="C9" s="52">
        <v>600</v>
      </c>
      <c r="D9" s="3">
        <f t="shared" si="0"/>
        <v>9000</v>
      </c>
      <c r="E9" s="52">
        <v>700</v>
      </c>
      <c r="F9" s="3">
        <f t="shared" si="1"/>
        <v>10500</v>
      </c>
    </row>
    <row r="10" spans="1:6" x14ac:dyDescent="0.15">
      <c r="A10" s="66" t="s">
        <v>180</v>
      </c>
      <c r="B10" s="67">
        <v>12</v>
      </c>
      <c r="C10" s="52">
        <v>500</v>
      </c>
      <c r="D10" s="3">
        <f t="shared" si="0"/>
        <v>6000</v>
      </c>
      <c r="E10" s="52">
        <v>600</v>
      </c>
      <c r="F10" s="3">
        <f t="shared" si="1"/>
        <v>7200</v>
      </c>
    </row>
    <row r="11" spans="1:6" x14ac:dyDescent="0.15">
      <c r="A11" s="66" t="s">
        <v>174</v>
      </c>
      <c r="B11" s="67">
        <v>12</v>
      </c>
      <c r="C11" s="52">
        <v>500</v>
      </c>
      <c r="D11" s="3">
        <f t="shared" si="0"/>
        <v>6000</v>
      </c>
      <c r="E11" s="52">
        <v>700</v>
      </c>
      <c r="F11" s="3">
        <f t="shared" si="1"/>
        <v>8400</v>
      </c>
    </row>
    <row r="12" spans="1:6" x14ac:dyDescent="0.15">
      <c r="A12" s="66" t="s">
        <v>11</v>
      </c>
      <c r="B12" s="67">
        <v>48</v>
      </c>
      <c r="C12" s="52">
        <v>300</v>
      </c>
      <c r="D12" s="3">
        <f>B12*C12</f>
        <v>14400</v>
      </c>
      <c r="E12" s="52">
        <v>500</v>
      </c>
      <c r="F12" s="3">
        <f t="shared" si="1"/>
        <v>24000</v>
      </c>
    </row>
    <row r="13" spans="1:6" x14ac:dyDescent="0.15">
      <c r="D13" s="4">
        <f>SUM(D3:D12)</f>
        <v>131100</v>
      </c>
      <c r="F13" s="4">
        <f>SUM(F3:F12)</f>
        <v>163600</v>
      </c>
    </row>
    <row r="14" spans="1:6" x14ac:dyDescent="0.15">
      <c r="E14" s="5" t="s">
        <v>141</v>
      </c>
      <c r="F14" s="53">
        <v>3300</v>
      </c>
    </row>
    <row r="15" spans="1:6" x14ac:dyDescent="0.15">
      <c r="E15" s="5" t="s">
        <v>12</v>
      </c>
      <c r="F15" s="6">
        <f>F13-D13-F14</f>
        <v>29200</v>
      </c>
    </row>
    <row r="16" spans="1:6" x14ac:dyDescent="0.15">
      <c r="E16" s="7"/>
    </row>
    <row r="17" spans="1:7" x14ac:dyDescent="0.15">
      <c r="E17" s="7" t="s">
        <v>13</v>
      </c>
    </row>
    <row r="18" spans="1:7" x14ac:dyDescent="0.15">
      <c r="E18" s="2" t="s">
        <v>14</v>
      </c>
      <c r="F18" s="54">
        <v>135700</v>
      </c>
    </row>
    <row r="19" spans="1:7" x14ac:dyDescent="0.15">
      <c r="A19" s="7" t="s">
        <v>19</v>
      </c>
      <c r="E19" s="2" t="s">
        <v>167</v>
      </c>
      <c r="F19" s="54">
        <v>1000</v>
      </c>
    </row>
    <row r="20" spans="1:7" x14ac:dyDescent="0.15">
      <c r="A20" s="52" t="s">
        <v>111</v>
      </c>
      <c r="B20" s="52"/>
      <c r="C20" s="54">
        <v>4900</v>
      </c>
      <c r="E20" s="2" t="s">
        <v>116</v>
      </c>
      <c r="F20" s="54">
        <v>5200</v>
      </c>
    </row>
    <row r="21" spans="1:7" x14ac:dyDescent="0.15">
      <c r="A21" s="52" t="s">
        <v>160</v>
      </c>
      <c r="B21" s="52"/>
      <c r="C21" s="54">
        <v>2400</v>
      </c>
      <c r="E21" s="2" t="s">
        <v>200</v>
      </c>
      <c r="F21" s="54">
        <v>3500</v>
      </c>
    </row>
    <row r="22" spans="1:7" x14ac:dyDescent="0.15">
      <c r="A22" s="52" t="s">
        <v>197</v>
      </c>
      <c r="B22" s="52"/>
      <c r="C22" s="54">
        <v>5600</v>
      </c>
      <c r="E22" s="2" t="s">
        <v>212</v>
      </c>
      <c r="F22" s="54">
        <v>5800</v>
      </c>
    </row>
    <row r="23" spans="1:7" x14ac:dyDescent="0.15">
      <c r="A23" s="52" t="s">
        <v>37</v>
      </c>
      <c r="B23" s="52"/>
      <c r="C23" s="54">
        <v>1700</v>
      </c>
      <c r="E23" s="2"/>
      <c r="F23" s="3"/>
    </row>
    <row r="24" spans="1:7" x14ac:dyDescent="0.15">
      <c r="A24" s="52" t="s">
        <v>213</v>
      </c>
      <c r="B24" s="52"/>
      <c r="C24" s="54">
        <v>300</v>
      </c>
      <c r="E24" s="2"/>
      <c r="F24" s="3"/>
    </row>
    <row r="25" spans="1:7" x14ac:dyDescent="0.15">
      <c r="A25" s="52" t="s">
        <v>214</v>
      </c>
      <c r="B25" s="52"/>
      <c r="C25" s="54">
        <v>2200</v>
      </c>
      <c r="E25" s="2" t="s">
        <v>17</v>
      </c>
      <c r="F25" s="3">
        <f>SUM(F18:F23)</f>
        <v>151200</v>
      </c>
    </row>
    <row r="26" spans="1:7" x14ac:dyDescent="0.15">
      <c r="A26" s="52"/>
      <c r="B26" s="52"/>
      <c r="C26" s="54"/>
      <c r="E26" s="8" t="s">
        <v>152</v>
      </c>
      <c r="F26" s="47">
        <f>F13-F25</f>
        <v>12400</v>
      </c>
    </row>
    <row r="27" spans="1:7" x14ac:dyDescent="0.15">
      <c r="A27" s="52"/>
      <c r="B27" s="52"/>
      <c r="C27" s="54"/>
      <c r="E27" s="7"/>
    </row>
    <row r="28" spans="1:7" x14ac:dyDescent="0.15">
      <c r="A28" s="2"/>
      <c r="B28" s="2"/>
      <c r="C28" s="3">
        <f>SUM(C20:C26)</f>
        <v>17100</v>
      </c>
      <c r="E28" s="68"/>
      <c r="F28" s="69"/>
      <c r="G28" s="69"/>
    </row>
    <row r="29" spans="1:7" x14ac:dyDescent="0.15">
      <c r="C29" s="46"/>
      <c r="E29" s="69"/>
      <c r="F29" s="69"/>
      <c r="G29" s="69"/>
    </row>
    <row r="30" spans="1:7" x14ac:dyDescent="0.15">
      <c r="E30" s="56"/>
    </row>
    <row r="31" spans="1:7" x14ac:dyDescent="0.15">
      <c r="E31" s="57"/>
    </row>
    <row r="32" spans="1:7" x14ac:dyDescent="0.15">
      <c r="E32" s="57"/>
    </row>
  </sheetData>
  <mergeCells count="1">
    <mergeCell ref="E28:G2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2:B12"/>
  <sheetViews>
    <sheetView workbookViewId="0"/>
  </sheetViews>
  <sheetFormatPr baseColWidth="10" defaultColWidth="12.6640625" defaultRowHeight="15.75" customHeight="1" x14ac:dyDescent="0.15"/>
  <cols>
    <col min="2" max="2" width="16.6640625" customWidth="1"/>
  </cols>
  <sheetData>
    <row r="2" spans="1:2" ht="15.75" customHeight="1" x14ac:dyDescent="0.15">
      <c r="A2" s="1" t="s">
        <v>0</v>
      </c>
      <c r="B2" s="1" t="s">
        <v>4</v>
      </c>
    </row>
    <row r="3" spans="1:2" ht="15.75" customHeight="1" x14ac:dyDescent="0.15">
      <c r="A3" s="2" t="s">
        <v>5</v>
      </c>
      <c r="B3" s="2">
        <v>600</v>
      </c>
    </row>
    <row r="4" spans="1:2" ht="15.75" customHeight="1" x14ac:dyDescent="0.15">
      <c r="A4" s="2" t="s">
        <v>6</v>
      </c>
      <c r="B4" s="2">
        <v>700</v>
      </c>
    </row>
    <row r="5" spans="1:2" ht="15.75" customHeight="1" x14ac:dyDescent="0.15">
      <c r="A5" s="2" t="s">
        <v>7</v>
      </c>
      <c r="B5" s="2">
        <v>700</v>
      </c>
    </row>
    <row r="6" spans="1:2" ht="15.75" customHeight="1" x14ac:dyDescent="0.15">
      <c r="A6" s="2" t="s">
        <v>150</v>
      </c>
      <c r="B6" s="2">
        <v>1000</v>
      </c>
    </row>
    <row r="7" spans="1:2" ht="15.75" customHeight="1" x14ac:dyDescent="0.15">
      <c r="A7" s="2" t="s">
        <v>9</v>
      </c>
      <c r="B7" s="2">
        <v>1200</v>
      </c>
    </row>
    <row r="8" spans="1:2" ht="15.75" customHeight="1" x14ac:dyDescent="0.15">
      <c r="A8" s="2" t="s">
        <v>10</v>
      </c>
      <c r="B8" s="2">
        <v>1000</v>
      </c>
    </row>
    <row r="9" spans="1:2" ht="15.75" customHeight="1" x14ac:dyDescent="0.15">
      <c r="A9" s="2" t="s">
        <v>124</v>
      </c>
      <c r="B9" s="2">
        <v>700</v>
      </c>
    </row>
    <row r="10" spans="1:2" ht="15.75" customHeight="1" x14ac:dyDescent="0.15">
      <c r="A10" s="2" t="s">
        <v>180</v>
      </c>
      <c r="B10" s="2">
        <v>600</v>
      </c>
    </row>
    <row r="11" spans="1:2" ht="15.75" customHeight="1" x14ac:dyDescent="0.15">
      <c r="A11" s="2" t="s">
        <v>174</v>
      </c>
      <c r="B11" s="2">
        <v>700</v>
      </c>
    </row>
    <row r="12" spans="1:2" ht="15.75" customHeight="1" x14ac:dyDescent="0.15">
      <c r="A12" s="2" t="s">
        <v>11</v>
      </c>
      <c r="B12" s="2">
        <v>500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B1" s="4"/>
    </row>
    <row r="2" spans="1:2" ht="15.75" customHeight="1" x14ac:dyDescent="0.15">
      <c r="A2" s="8" t="s">
        <v>160</v>
      </c>
      <c r="B2" s="4"/>
    </row>
    <row r="3" spans="1:2" ht="15.75" customHeight="1" x14ac:dyDescent="0.15">
      <c r="A3" s="58">
        <v>45753</v>
      </c>
      <c r="B3" s="4">
        <v>2100</v>
      </c>
    </row>
    <row r="4" spans="1:2" ht="15.75" customHeight="1" x14ac:dyDescent="0.15">
      <c r="A4" s="58">
        <v>45767</v>
      </c>
      <c r="B4" s="4">
        <v>2200</v>
      </c>
    </row>
    <row r="5" spans="1:2" ht="15.75" customHeight="1" x14ac:dyDescent="0.15">
      <c r="A5" s="58">
        <v>45795</v>
      </c>
      <c r="B5" s="4">
        <v>2200</v>
      </c>
    </row>
    <row r="6" spans="1:2" ht="15.75" customHeight="1" x14ac:dyDescent="0.15">
      <c r="A6" s="58">
        <v>45809</v>
      </c>
      <c r="B6" s="4">
        <v>2600</v>
      </c>
    </row>
    <row r="7" spans="1:2" ht="15.75" customHeight="1" x14ac:dyDescent="0.15">
      <c r="B7" s="47">
        <f>SUM(B3:B6)</f>
        <v>9100</v>
      </c>
    </row>
    <row r="8" spans="1:2" ht="15.75" customHeight="1" x14ac:dyDescent="0.15">
      <c r="B8" s="4"/>
    </row>
    <row r="9" spans="1:2" ht="15.75" customHeight="1" x14ac:dyDescent="0.15">
      <c r="A9" s="8" t="s">
        <v>208</v>
      </c>
      <c r="B9" s="4"/>
    </row>
    <row r="10" spans="1:2" ht="15.75" customHeight="1" x14ac:dyDescent="0.15">
      <c r="A10" s="8" t="s">
        <v>209</v>
      </c>
      <c r="B10" s="4">
        <v>4300</v>
      </c>
    </row>
    <row r="11" spans="1:2" ht="15.75" customHeight="1" x14ac:dyDescent="0.15">
      <c r="B11" s="4"/>
    </row>
    <row r="12" spans="1:2" ht="15.75" customHeight="1" x14ac:dyDescent="0.15">
      <c r="A12" s="7" t="s">
        <v>111</v>
      </c>
      <c r="B12" s="4"/>
    </row>
    <row r="13" spans="1:2" ht="15.75" customHeight="1" x14ac:dyDescent="0.15">
      <c r="A13" s="58">
        <v>45781</v>
      </c>
      <c r="B13" s="4">
        <v>1300</v>
      </c>
    </row>
    <row r="14" spans="1:2" ht="15.75" customHeight="1" x14ac:dyDescent="0.15">
      <c r="A14" s="58">
        <v>45788</v>
      </c>
      <c r="B14" s="4">
        <v>2100</v>
      </c>
    </row>
    <row r="15" spans="1:2" ht="15.75" customHeight="1" x14ac:dyDescent="0.15">
      <c r="A15" s="58">
        <v>45795</v>
      </c>
      <c r="B15" s="4">
        <v>3100</v>
      </c>
    </row>
    <row r="16" spans="1:2" ht="15.75" customHeight="1" x14ac:dyDescent="0.15">
      <c r="A16" s="58">
        <v>45816</v>
      </c>
      <c r="B16" s="4">
        <v>2600</v>
      </c>
    </row>
    <row r="17" spans="1:2" ht="15.75" customHeight="1" x14ac:dyDescent="0.15">
      <c r="B17" s="47">
        <f>SUM(B13:B16)</f>
        <v>9100</v>
      </c>
    </row>
    <row r="18" spans="1:2" ht="15.75" customHeight="1" x14ac:dyDescent="0.15">
      <c r="B18" s="4"/>
    </row>
    <row r="19" spans="1:2" ht="15.75" customHeight="1" x14ac:dyDescent="0.15">
      <c r="A19" s="7" t="s">
        <v>27</v>
      </c>
      <c r="B19" s="4"/>
    </row>
    <row r="20" spans="1:2" ht="15.75" customHeight="1" x14ac:dyDescent="0.15">
      <c r="A20" s="59">
        <v>45753</v>
      </c>
      <c r="B20" s="4">
        <v>1000</v>
      </c>
    </row>
    <row r="21" spans="1:2" ht="15.75" customHeight="1" x14ac:dyDescent="0.15">
      <c r="A21" s="58">
        <v>45795</v>
      </c>
      <c r="B21" s="4">
        <v>1100</v>
      </c>
    </row>
    <row r="22" spans="1:2" ht="15.75" customHeight="1" x14ac:dyDescent="0.15">
      <c r="B22" s="47">
        <f>SUM(B20:B21)</f>
        <v>2100</v>
      </c>
    </row>
    <row r="23" spans="1:2" ht="15.75" customHeight="1" x14ac:dyDescent="0.15">
      <c r="B23" s="4"/>
    </row>
    <row r="24" spans="1:2" ht="15.75" customHeight="1" x14ac:dyDescent="0.15">
      <c r="A24" s="7" t="s">
        <v>37</v>
      </c>
      <c r="B24" s="4"/>
    </row>
    <row r="25" spans="1:2" ht="15.75" customHeight="1" x14ac:dyDescent="0.15">
      <c r="A25" s="58">
        <v>45788</v>
      </c>
      <c r="B25" s="4">
        <v>3300</v>
      </c>
    </row>
    <row r="26" spans="1:2" ht="15.75" customHeight="1" x14ac:dyDescent="0.15">
      <c r="A26" s="58">
        <v>45795</v>
      </c>
      <c r="B26" s="4">
        <v>1200</v>
      </c>
    </row>
    <row r="27" spans="1:2" ht="15.75" customHeight="1" x14ac:dyDescent="0.15">
      <c r="A27" s="58">
        <v>45809</v>
      </c>
      <c r="B27" s="4">
        <v>1700</v>
      </c>
    </row>
    <row r="28" spans="1:2" ht="15.75" customHeight="1" x14ac:dyDescent="0.15">
      <c r="B28" s="47">
        <f>SUM(B25:B27)</f>
        <v>6200</v>
      </c>
    </row>
    <row r="29" spans="1:2" ht="15.75" customHeight="1" x14ac:dyDescent="0.15">
      <c r="B29" s="4"/>
    </row>
    <row r="30" spans="1:2" ht="15.75" customHeight="1" x14ac:dyDescent="0.15">
      <c r="A30" s="8" t="s">
        <v>194</v>
      </c>
      <c r="B30" s="4"/>
    </row>
    <row r="31" spans="1:2" ht="15.75" customHeight="1" x14ac:dyDescent="0.15">
      <c r="A31" s="58">
        <v>45781</v>
      </c>
      <c r="B31" s="4">
        <v>1500</v>
      </c>
    </row>
    <row r="32" spans="1:2" ht="15.75" customHeight="1" x14ac:dyDescent="0.15">
      <c r="B32" s="4"/>
    </row>
    <row r="33" spans="2:2" ht="15.75" customHeight="1" x14ac:dyDescent="0.15">
      <c r="B33" s="4"/>
    </row>
    <row r="34" spans="2:2" ht="15.75" customHeight="1" x14ac:dyDescent="0.15">
      <c r="B34" s="4"/>
    </row>
    <row r="35" spans="2:2" ht="15.75" customHeight="1" x14ac:dyDescent="0.15">
      <c r="B35" s="4"/>
    </row>
    <row r="36" spans="2:2" ht="15.75" customHeight="1" x14ac:dyDescent="0.15">
      <c r="B36" s="4"/>
    </row>
    <row r="37" spans="2:2" ht="15.75" customHeight="1" x14ac:dyDescent="0.15">
      <c r="B37" s="4"/>
    </row>
    <row r="38" spans="2:2" ht="15.75" customHeight="1" x14ac:dyDescent="0.15">
      <c r="B38" s="4"/>
    </row>
    <row r="39" spans="2:2" ht="15.75" customHeight="1" x14ac:dyDescent="0.15">
      <c r="B39" s="4"/>
    </row>
    <row r="40" spans="2:2" ht="15.75" customHeight="1" x14ac:dyDescent="0.15">
      <c r="B40" s="4"/>
    </row>
    <row r="41" spans="2:2" ht="15.75" customHeight="1" x14ac:dyDescent="0.15">
      <c r="B41" s="4"/>
    </row>
    <row r="42" spans="2:2" ht="15.75" customHeight="1" x14ac:dyDescent="0.15">
      <c r="B42" s="4"/>
    </row>
    <row r="43" spans="2:2" ht="15.75" customHeight="1" x14ac:dyDescent="0.15">
      <c r="B43" s="4"/>
    </row>
    <row r="44" spans="2:2" ht="15.75" customHeight="1" x14ac:dyDescent="0.15">
      <c r="B44" s="4"/>
    </row>
    <row r="45" spans="2:2" ht="15.75" customHeight="1" x14ac:dyDescent="0.15">
      <c r="B45" s="4"/>
    </row>
    <row r="46" spans="2:2" ht="15.75" customHeight="1" x14ac:dyDescent="0.15">
      <c r="B46" s="4"/>
    </row>
    <row r="47" spans="2:2" ht="15.75" customHeight="1" x14ac:dyDescent="0.15">
      <c r="B47" s="4"/>
    </row>
    <row r="48" spans="2:2" ht="15.75" customHeight="1" x14ac:dyDescent="0.15">
      <c r="B48" s="4"/>
    </row>
    <row r="49" spans="2:2" ht="15.75" customHeight="1" x14ac:dyDescent="0.15">
      <c r="B49" s="4"/>
    </row>
    <row r="50" spans="2:2" ht="15.75" customHeight="1" x14ac:dyDescent="0.15">
      <c r="B50" s="4"/>
    </row>
    <row r="51" spans="2:2" ht="15.75" customHeight="1" x14ac:dyDescent="0.15">
      <c r="B51" s="4"/>
    </row>
    <row r="52" spans="2:2" ht="15.75" customHeight="1" x14ac:dyDescent="0.15">
      <c r="B52" s="4"/>
    </row>
    <row r="53" spans="2:2" ht="15.75" customHeight="1" x14ac:dyDescent="0.15">
      <c r="B53" s="4"/>
    </row>
    <row r="54" spans="2:2" ht="15.75" customHeight="1" x14ac:dyDescent="0.15">
      <c r="B54" s="4"/>
    </row>
    <row r="55" spans="2:2" ht="15.75" customHeight="1" x14ac:dyDescent="0.15">
      <c r="B55" s="4"/>
    </row>
    <row r="56" spans="2:2" ht="13" x14ac:dyDescent="0.15">
      <c r="B56" s="4"/>
    </row>
    <row r="57" spans="2:2" ht="13" x14ac:dyDescent="0.15">
      <c r="B57" s="4"/>
    </row>
    <row r="58" spans="2:2" ht="13" x14ac:dyDescent="0.15">
      <c r="B58" s="4"/>
    </row>
    <row r="59" spans="2:2" ht="13" x14ac:dyDescent="0.15">
      <c r="B59" s="4"/>
    </row>
    <row r="60" spans="2:2" ht="13" x14ac:dyDescent="0.15">
      <c r="B60" s="4"/>
    </row>
    <row r="61" spans="2:2" ht="13" x14ac:dyDescent="0.15">
      <c r="B61" s="4"/>
    </row>
    <row r="62" spans="2:2" ht="13" x14ac:dyDescent="0.15">
      <c r="B62" s="4"/>
    </row>
    <row r="63" spans="2:2" ht="13" x14ac:dyDescent="0.15">
      <c r="B63" s="4"/>
    </row>
    <row r="64" spans="2:2" ht="13" x14ac:dyDescent="0.15">
      <c r="B64" s="4"/>
    </row>
    <row r="65" spans="2:2" ht="13" x14ac:dyDescent="0.15">
      <c r="B65" s="4"/>
    </row>
    <row r="66" spans="2:2" ht="13" x14ac:dyDescent="0.15">
      <c r="B66" s="4"/>
    </row>
    <row r="67" spans="2:2" ht="13" x14ac:dyDescent="0.15">
      <c r="B67" s="4"/>
    </row>
    <row r="68" spans="2:2" ht="13" x14ac:dyDescent="0.15">
      <c r="B68" s="4"/>
    </row>
    <row r="69" spans="2:2" ht="13" x14ac:dyDescent="0.15">
      <c r="B69" s="4"/>
    </row>
    <row r="70" spans="2:2" ht="13" x14ac:dyDescent="0.15">
      <c r="B70" s="4"/>
    </row>
    <row r="71" spans="2:2" ht="13" x14ac:dyDescent="0.15">
      <c r="B71" s="4"/>
    </row>
    <row r="72" spans="2:2" ht="13" x14ac:dyDescent="0.15">
      <c r="B72" s="4"/>
    </row>
    <row r="73" spans="2:2" ht="13" x14ac:dyDescent="0.15">
      <c r="B73" s="4"/>
    </row>
    <row r="74" spans="2:2" ht="13" x14ac:dyDescent="0.15">
      <c r="B74" s="4"/>
    </row>
    <row r="75" spans="2:2" ht="13" x14ac:dyDescent="0.15">
      <c r="B75" s="4"/>
    </row>
    <row r="76" spans="2:2" ht="13" x14ac:dyDescent="0.15">
      <c r="B76" s="4"/>
    </row>
    <row r="77" spans="2:2" ht="13" x14ac:dyDescent="0.15">
      <c r="B77" s="4"/>
    </row>
    <row r="78" spans="2:2" ht="13" x14ac:dyDescent="0.15">
      <c r="B78" s="4"/>
    </row>
    <row r="79" spans="2:2" ht="13" x14ac:dyDescent="0.15">
      <c r="B79" s="4"/>
    </row>
    <row r="80" spans="2:2" ht="13" x14ac:dyDescent="0.15">
      <c r="B80" s="4"/>
    </row>
    <row r="81" spans="2:2" ht="13" x14ac:dyDescent="0.15">
      <c r="B81" s="4"/>
    </row>
    <row r="82" spans="2:2" ht="13" x14ac:dyDescent="0.15">
      <c r="B82" s="4"/>
    </row>
    <row r="83" spans="2:2" ht="13" x14ac:dyDescent="0.15">
      <c r="B83" s="4"/>
    </row>
    <row r="84" spans="2:2" ht="13" x14ac:dyDescent="0.15">
      <c r="B84" s="4"/>
    </row>
    <row r="85" spans="2:2" ht="13" x14ac:dyDescent="0.15">
      <c r="B85" s="4"/>
    </row>
    <row r="86" spans="2:2" ht="13" x14ac:dyDescent="0.15">
      <c r="B86" s="4"/>
    </row>
    <row r="87" spans="2:2" ht="13" x14ac:dyDescent="0.15">
      <c r="B87" s="4"/>
    </row>
    <row r="88" spans="2:2" ht="13" x14ac:dyDescent="0.15">
      <c r="B88" s="4"/>
    </row>
    <row r="89" spans="2:2" ht="13" x14ac:dyDescent="0.15">
      <c r="B89" s="4"/>
    </row>
    <row r="90" spans="2:2" ht="13" x14ac:dyDescent="0.15">
      <c r="B90" s="4"/>
    </row>
    <row r="91" spans="2:2" ht="13" x14ac:dyDescent="0.15">
      <c r="B91" s="4"/>
    </row>
    <row r="92" spans="2:2" ht="13" x14ac:dyDescent="0.15">
      <c r="B92" s="4"/>
    </row>
    <row r="93" spans="2:2" ht="13" x14ac:dyDescent="0.15">
      <c r="B93" s="4"/>
    </row>
    <row r="94" spans="2:2" ht="13" x14ac:dyDescent="0.15">
      <c r="B94" s="4"/>
    </row>
    <row r="95" spans="2:2" ht="13" x14ac:dyDescent="0.15">
      <c r="B95" s="4"/>
    </row>
    <row r="96" spans="2:2" ht="13" x14ac:dyDescent="0.15">
      <c r="B96" s="4"/>
    </row>
    <row r="97" spans="2:2" ht="13" x14ac:dyDescent="0.15">
      <c r="B97" s="4"/>
    </row>
    <row r="98" spans="2:2" ht="13" x14ac:dyDescent="0.15">
      <c r="B98" s="4"/>
    </row>
    <row r="99" spans="2:2" ht="13" x14ac:dyDescent="0.15">
      <c r="B99" s="4"/>
    </row>
    <row r="100" spans="2:2" ht="13" x14ac:dyDescent="0.15">
      <c r="B100" s="4"/>
    </row>
    <row r="101" spans="2:2" ht="13" x14ac:dyDescent="0.15">
      <c r="B101" s="4"/>
    </row>
    <row r="102" spans="2:2" ht="13" x14ac:dyDescent="0.15">
      <c r="B102" s="4"/>
    </row>
    <row r="103" spans="2:2" ht="13" x14ac:dyDescent="0.15">
      <c r="B103" s="4"/>
    </row>
    <row r="104" spans="2:2" ht="13" x14ac:dyDescent="0.15">
      <c r="B104" s="4"/>
    </row>
    <row r="105" spans="2:2" ht="13" x14ac:dyDescent="0.15">
      <c r="B105" s="4"/>
    </row>
    <row r="106" spans="2:2" ht="13" x14ac:dyDescent="0.15">
      <c r="B106" s="4"/>
    </row>
    <row r="107" spans="2:2" ht="13" x14ac:dyDescent="0.15">
      <c r="B107" s="4"/>
    </row>
    <row r="108" spans="2:2" ht="13" x14ac:dyDescent="0.15">
      <c r="B108" s="4"/>
    </row>
    <row r="109" spans="2:2" ht="13" x14ac:dyDescent="0.15">
      <c r="B109" s="4"/>
    </row>
    <row r="110" spans="2:2" ht="13" x14ac:dyDescent="0.15">
      <c r="B110" s="4"/>
    </row>
    <row r="111" spans="2:2" ht="13" x14ac:dyDescent="0.15">
      <c r="B111" s="4"/>
    </row>
    <row r="112" spans="2:2" ht="13" x14ac:dyDescent="0.15">
      <c r="B112" s="4"/>
    </row>
    <row r="113" spans="2:2" ht="13" x14ac:dyDescent="0.15">
      <c r="B113" s="4"/>
    </row>
    <row r="114" spans="2:2" ht="13" x14ac:dyDescent="0.15">
      <c r="B114" s="4"/>
    </row>
    <row r="115" spans="2:2" ht="13" x14ac:dyDescent="0.15">
      <c r="B115" s="4"/>
    </row>
    <row r="116" spans="2:2" ht="13" x14ac:dyDescent="0.15">
      <c r="B116" s="4"/>
    </row>
    <row r="117" spans="2:2" ht="13" x14ac:dyDescent="0.15">
      <c r="B117" s="4"/>
    </row>
    <row r="118" spans="2:2" ht="13" x14ac:dyDescent="0.15">
      <c r="B118" s="4"/>
    </row>
    <row r="119" spans="2:2" ht="13" x14ac:dyDescent="0.15">
      <c r="B119" s="4"/>
    </row>
    <row r="120" spans="2:2" ht="13" x14ac:dyDescent="0.15">
      <c r="B120" s="4"/>
    </row>
    <row r="121" spans="2:2" ht="13" x14ac:dyDescent="0.15">
      <c r="B121" s="4"/>
    </row>
    <row r="122" spans="2:2" ht="13" x14ac:dyDescent="0.15">
      <c r="B122" s="4"/>
    </row>
    <row r="123" spans="2:2" ht="13" x14ac:dyDescent="0.15">
      <c r="B123" s="4"/>
    </row>
    <row r="124" spans="2:2" ht="13" x14ac:dyDescent="0.15">
      <c r="B124" s="4"/>
    </row>
    <row r="125" spans="2:2" ht="13" x14ac:dyDescent="0.15">
      <c r="B125" s="4"/>
    </row>
    <row r="126" spans="2:2" ht="13" x14ac:dyDescent="0.15">
      <c r="B126" s="4"/>
    </row>
    <row r="127" spans="2:2" ht="13" x14ac:dyDescent="0.15">
      <c r="B127" s="4"/>
    </row>
    <row r="128" spans="2:2" ht="13" x14ac:dyDescent="0.15">
      <c r="B128" s="4"/>
    </row>
    <row r="129" spans="2:2" ht="13" x14ac:dyDescent="0.15">
      <c r="B129" s="4"/>
    </row>
    <row r="130" spans="2:2" ht="13" x14ac:dyDescent="0.15">
      <c r="B130" s="4"/>
    </row>
    <row r="131" spans="2:2" ht="13" x14ac:dyDescent="0.15">
      <c r="B131" s="4"/>
    </row>
    <row r="132" spans="2:2" ht="13" x14ac:dyDescent="0.15">
      <c r="B132" s="4"/>
    </row>
    <row r="133" spans="2:2" ht="13" x14ac:dyDescent="0.15">
      <c r="B133" s="4"/>
    </row>
    <row r="134" spans="2:2" ht="13" x14ac:dyDescent="0.15">
      <c r="B134" s="4"/>
    </row>
    <row r="135" spans="2:2" ht="13" x14ac:dyDescent="0.15">
      <c r="B135" s="4"/>
    </row>
    <row r="136" spans="2:2" ht="13" x14ac:dyDescent="0.15">
      <c r="B136" s="4"/>
    </row>
    <row r="137" spans="2:2" ht="13" x14ac:dyDescent="0.15">
      <c r="B137" s="4"/>
    </row>
    <row r="138" spans="2:2" ht="13" x14ac:dyDescent="0.15">
      <c r="B138" s="4"/>
    </row>
    <row r="139" spans="2:2" ht="13" x14ac:dyDescent="0.15">
      <c r="B139" s="4"/>
    </row>
    <row r="140" spans="2:2" ht="13" x14ac:dyDescent="0.15">
      <c r="B140" s="4"/>
    </row>
    <row r="141" spans="2:2" ht="13" x14ac:dyDescent="0.15">
      <c r="B141" s="4"/>
    </row>
    <row r="142" spans="2:2" ht="13" x14ac:dyDescent="0.15">
      <c r="B142" s="4"/>
    </row>
    <row r="143" spans="2:2" ht="13" x14ac:dyDescent="0.15">
      <c r="B143" s="4"/>
    </row>
    <row r="144" spans="2:2" ht="13" x14ac:dyDescent="0.15">
      <c r="B144" s="4"/>
    </row>
    <row r="145" spans="2:2" ht="13" x14ac:dyDescent="0.15">
      <c r="B145" s="4"/>
    </row>
    <row r="146" spans="2:2" ht="13" x14ac:dyDescent="0.15">
      <c r="B146" s="4"/>
    </row>
    <row r="147" spans="2:2" ht="13" x14ac:dyDescent="0.15">
      <c r="B147" s="4"/>
    </row>
    <row r="148" spans="2:2" ht="13" x14ac:dyDescent="0.15">
      <c r="B148" s="4"/>
    </row>
    <row r="149" spans="2:2" ht="13" x14ac:dyDescent="0.15">
      <c r="B149" s="4"/>
    </row>
    <row r="150" spans="2:2" ht="13" x14ac:dyDescent="0.15">
      <c r="B150" s="4"/>
    </row>
    <row r="151" spans="2:2" ht="13" x14ac:dyDescent="0.15">
      <c r="B151" s="4"/>
    </row>
    <row r="152" spans="2:2" ht="13" x14ac:dyDescent="0.15">
      <c r="B152" s="4"/>
    </row>
    <row r="153" spans="2:2" ht="13" x14ac:dyDescent="0.15">
      <c r="B153" s="4"/>
    </row>
    <row r="154" spans="2:2" ht="13" x14ac:dyDescent="0.15">
      <c r="B154" s="4"/>
    </row>
    <row r="155" spans="2:2" ht="13" x14ac:dyDescent="0.15">
      <c r="B155" s="4"/>
    </row>
    <row r="156" spans="2:2" ht="13" x14ac:dyDescent="0.15">
      <c r="B156" s="4"/>
    </row>
    <row r="157" spans="2:2" ht="13" x14ac:dyDescent="0.15">
      <c r="B157" s="4"/>
    </row>
    <row r="158" spans="2:2" ht="13" x14ac:dyDescent="0.15">
      <c r="B158" s="4"/>
    </row>
    <row r="159" spans="2:2" ht="13" x14ac:dyDescent="0.15">
      <c r="B159" s="4"/>
    </row>
    <row r="160" spans="2:2" ht="13" x14ac:dyDescent="0.15">
      <c r="B160" s="4"/>
    </row>
    <row r="161" spans="2:2" ht="13" x14ac:dyDescent="0.15">
      <c r="B161" s="4"/>
    </row>
    <row r="162" spans="2:2" ht="13" x14ac:dyDescent="0.15">
      <c r="B162" s="4"/>
    </row>
    <row r="163" spans="2:2" ht="13" x14ac:dyDescent="0.15">
      <c r="B163" s="4"/>
    </row>
    <row r="164" spans="2:2" ht="13" x14ac:dyDescent="0.15">
      <c r="B164" s="4"/>
    </row>
    <row r="165" spans="2:2" ht="13" x14ac:dyDescent="0.15">
      <c r="B165" s="4"/>
    </row>
    <row r="166" spans="2:2" ht="13" x14ac:dyDescent="0.15">
      <c r="B166" s="4"/>
    </row>
    <row r="167" spans="2:2" ht="13" x14ac:dyDescent="0.15">
      <c r="B167" s="4"/>
    </row>
    <row r="168" spans="2:2" ht="13" x14ac:dyDescent="0.15">
      <c r="B168" s="4"/>
    </row>
    <row r="169" spans="2:2" ht="13" x14ac:dyDescent="0.15">
      <c r="B169" s="4"/>
    </row>
    <row r="170" spans="2:2" ht="13" x14ac:dyDescent="0.15">
      <c r="B170" s="4"/>
    </row>
    <row r="171" spans="2:2" ht="13" x14ac:dyDescent="0.15">
      <c r="B171" s="4"/>
    </row>
    <row r="172" spans="2:2" ht="13" x14ac:dyDescent="0.15">
      <c r="B172" s="4"/>
    </row>
    <row r="173" spans="2:2" ht="13" x14ac:dyDescent="0.15">
      <c r="B173" s="4"/>
    </row>
    <row r="174" spans="2:2" ht="13" x14ac:dyDescent="0.15">
      <c r="B174" s="4"/>
    </row>
    <row r="175" spans="2:2" ht="13" x14ac:dyDescent="0.15">
      <c r="B175" s="4"/>
    </row>
    <row r="176" spans="2:2" ht="13" x14ac:dyDescent="0.15">
      <c r="B176" s="4"/>
    </row>
    <row r="177" spans="2:2" ht="13" x14ac:dyDescent="0.15">
      <c r="B177" s="4"/>
    </row>
    <row r="178" spans="2:2" ht="13" x14ac:dyDescent="0.15">
      <c r="B178" s="4"/>
    </row>
    <row r="179" spans="2:2" ht="13" x14ac:dyDescent="0.15">
      <c r="B179" s="4"/>
    </row>
    <row r="180" spans="2:2" ht="13" x14ac:dyDescent="0.15">
      <c r="B180" s="4"/>
    </row>
    <row r="181" spans="2:2" ht="13" x14ac:dyDescent="0.15">
      <c r="B181" s="4"/>
    </row>
    <row r="182" spans="2:2" ht="13" x14ac:dyDescent="0.15">
      <c r="B182" s="4"/>
    </row>
    <row r="183" spans="2:2" ht="13" x14ac:dyDescent="0.15">
      <c r="B183" s="4"/>
    </row>
    <row r="184" spans="2:2" ht="13" x14ac:dyDescent="0.15">
      <c r="B184" s="4"/>
    </row>
    <row r="185" spans="2:2" ht="13" x14ac:dyDescent="0.15">
      <c r="B185" s="4"/>
    </row>
    <row r="186" spans="2:2" ht="13" x14ac:dyDescent="0.15">
      <c r="B186" s="4"/>
    </row>
    <row r="187" spans="2:2" ht="13" x14ac:dyDescent="0.15">
      <c r="B187" s="4"/>
    </row>
    <row r="188" spans="2:2" ht="13" x14ac:dyDescent="0.15">
      <c r="B188" s="4"/>
    </row>
    <row r="189" spans="2:2" ht="13" x14ac:dyDescent="0.15">
      <c r="B189" s="4"/>
    </row>
    <row r="190" spans="2:2" ht="13" x14ac:dyDescent="0.15">
      <c r="B190" s="4"/>
    </row>
    <row r="191" spans="2:2" ht="13" x14ac:dyDescent="0.15">
      <c r="B191" s="4"/>
    </row>
    <row r="192" spans="2:2" ht="13" x14ac:dyDescent="0.15">
      <c r="B192" s="4"/>
    </row>
    <row r="193" spans="2:2" ht="13" x14ac:dyDescent="0.15">
      <c r="B193" s="4"/>
    </row>
    <row r="194" spans="2:2" ht="13" x14ac:dyDescent="0.15">
      <c r="B194" s="4"/>
    </row>
    <row r="195" spans="2:2" ht="13" x14ac:dyDescent="0.15">
      <c r="B195" s="4"/>
    </row>
    <row r="196" spans="2:2" ht="13" x14ac:dyDescent="0.15">
      <c r="B196" s="4"/>
    </row>
    <row r="197" spans="2:2" ht="13" x14ac:dyDescent="0.15">
      <c r="B197" s="4"/>
    </row>
    <row r="198" spans="2:2" ht="13" x14ac:dyDescent="0.15">
      <c r="B198" s="4"/>
    </row>
    <row r="199" spans="2:2" ht="13" x14ac:dyDescent="0.15">
      <c r="B199" s="4"/>
    </row>
    <row r="200" spans="2:2" ht="13" x14ac:dyDescent="0.15">
      <c r="B200" s="4"/>
    </row>
    <row r="201" spans="2:2" ht="13" x14ac:dyDescent="0.15">
      <c r="B201" s="4"/>
    </row>
    <row r="202" spans="2:2" ht="13" x14ac:dyDescent="0.15">
      <c r="B202" s="4"/>
    </row>
    <row r="203" spans="2:2" ht="13" x14ac:dyDescent="0.15">
      <c r="B203" s="4"/>
    </row>
    <row r="204" spans="2:2" ht="13" x14ac:dyDescent="0.15">
      <c r="B204" s="4"/>
    </row>
    <row r="205" spans="2:2" ht="13" x14ac:dyDescent="0.15">
      <c r="B205" s="4"/>
    </row>
    <row r="206" spans="2:2" ht="13" x14ac:dyDescent="0.15">
      <c r="B206" s="4"/>
    </row>
    <row r="207" spans="2:2" ht="13" x14ac:dyDescent="0.15">
      <c r="B207" s="4"/>
    </row>
    <row r="208" spans="2:2" ht="13" x14ac:dyDescent="0.15">
      <c r="B208" s="4"/>
    </row>
    <row r="209" spans="2:2" ht="13" x14ac:dyDescent="0.15">
      <c r="B209" s="4"/>
    </row>
    <row r="210" spans="2:2" ht="13" x14ac:dyDescent="0.15">
      <c r="B210" s="4"/>
    </row>
    <row r="211" spans="2:2" ht="13" x14ac:dyDescent="0.15">
      <c r="B211" s="4"/>
    </row>
    <row r="212" spans="2:2" ht="13" x14ac:dyDescent="0.15">
      <c r="B212" s="4"/>
    </row>
    <row r="213" spans="2:2" ht="13" x14ac:dyDescent="0.15">
      <c r="B213" s="4"/>
    </row>
    <row r="214" spans="2:2" ht="13" x14ac:dyDescent="0.15">
      <c r="B214" s="4"/>
    </row>
    <row r="215" spans="2:2" ht="13" x14ac:dyDescent="0.15">
      <c r="B215" s="4"/>
    </row>
    <row r="216" spans="2:2" ht="13" x14ac:dyDescent="0.15">
      <c r="B216" s="4"/>
    </row>
    <row r="217" spans="2:2" ht="13" x14ac:dyDescent="0.15">
      <c r="B217" s="4"/>
    </row>
    <row r="218" spans="2:2" ht="13" x14ac:dyDescent="0.15">
      <c r="B218" s="4"/>
    </row>
    <row r="219" spans="2:2" ht="13" x14ac:dyDescent="0.15">
      <c r="B219" s="4"/>
    </row>
    <row r="220" spans="2:2" ht="13" x14ac:dyDescent="0.15">
      <c r="B220" s="4"/>
    </row>
    <row r="221" spans="2:2" ht="13" x14ac:dyDescent="0.15">
      <c r="B221" s="4"/>
    </row>
    <row r="222" spans="2:2" ht="13" x14ac:dyDescent="0.15">
      <c r="B222" s="4"/>
    </row>
    <row r="223" spans="2:2" ht="13" x14ac:dyDescent="0.15">
      <c r="B223" s="4"/>
    </row>
    <row r="224" spans="2:2" ht="13" x14ac:dyDescent="0.15">
      <c r="B224" s="4"/>
    </row>
    <row r="225" spans="2:2" ht="13" x14ac:dyDescent="0.15">
      <c r="B225" s="4"/>
    </row>
    <row r="226" spans="2:2" ht="13" x14ac:dyDescent="0.15">
      <c r="B226" s="4"/>
    </row>
    <row r="227" spans="2:2" ht="13" x14ac:dyDescent="0.15">
      <c r="B227" s="4"/>
    </row>
    <row r="228" spans="2:2" ht="13" x14ac:dyDescent="0.15">
      <c r="B228" s="4"/>
    </row>
    <row r="229" spans="2:2" ht="13" x14ac:dyDescent="0.15">
      <c r="B229" s="4"/>
    </row>
    <row r="230" spans="2:2" ht="13" x14ac:dyDescent="0.15">
      <c r="B230" s="4"/>
    </row>
    <row r="231" spans="2:2" ht="13" x14ac:dyDescent="0.15">
      <c r="B231" s="4"/>
    </row>
    <row r="232" spans="2:2" ht="13" x14ac:dyDescent="0.15">
      <c r="B232" s="4"/>
    </row>
    <row r="233" spans="2:2" ht="13" x14ac:dyDescent="0.15">
      <c r="B233" s="4"/>
    </row>
    <row r="234" spans="2:2" ht="13" x14ac:dyDescent="0.15">
      <c r="B234" s="4"/>
    </row>
    <row r="235" spans="2:2" ht="13" x14ac:dyDescent="0.15">
      <c r="B235" s="4"/>
    </row>
    <row r="236" spans="2:2" ht="13" x14ac:dyDescent="0.15">
      <c r="B236" s="4"/>
    </row>
    <row r="237" spans="2:2" ht="13" x14ac:dyDescent="0.15">
      <c r="B237" s="4"/>
    </row>
    <row r="238" spans="2:2" ht="13" x14ac:dyDescent="0.15">
      <c r="B238" s="4"/>
    </row>
    <row r="239" spans="2:2" ht="13" x14ac:dyDescent="0.15">
      <c r="B239" s="4"/>
    </row>
    <row r="240" spans="2:2" ht="13" x14ac:dyDescent="0.15">
      <c r="B240" s="4"/>
    </row>
    <row r="241" spans="2:2" ht="13" x14ac:dyDescent="0.15">
      <c r="B241" s="4"/>
    </row>
    <row r="242" spans="2:2" ht="13" x14ac:dyDescent="0.15">
      <c r="B242" s="4"/>
    </row>
    <row r="243" spans="2:2" ht="13" x14ac:dyDescent="0.15">
      <c r="B243" s="4"/>
    </row>
    <row r="244" spans="2:2" ht="13" x14ac:dyDescent="0.15">
      <c r="B244" s="4"/>
    </row>
    <row r="245" spans="2:2" ht="13" x14ac:dyDescent="0.15">
      <c r="B245" s="4"/>
    </row>
    <row r="246" spans="2:2" ht="13" x14ac:dyDescent="0.15">
      <c r="B246" s="4"/>
    </row>
    <row r="247" spans="2:2" ht="13" x14ac:dyDescent="0.15">
      <c r="B247" s="4"/>
    </row>
    <row r="248" spans="2:2" ht="13" x14ac:dyDescent="0.15">
      <c r="B248" s="4"/>
    </row>
    <row r="249" spans="2:2" ht="13" x14ac:dyDescent="0.15">
      <c r="B249" s="4"/>
    </row>
    <row r="250" spans="2:2" ht="13" x14ac:dyDescent="0.15">
      <c r="B250" s="4"/>
    </row>
    <row r="251" spans="2:2" ht="13" x14ac:dyDescent="0.15">
      <c r="B251" s="4"/>
    </row>
    <row r="252" spans="2:2" ht="13" x14ac:dyDescent="0.15">
      <c r="B252" s="4"/>
    </row>
    <row r="253" spans="2:2" ht="13" x14ac:dyDescent="0.15">
      <c r="B253" s="4"/>
    </row>
    <row r="254" spans="2:2" ht="13" x14ac:dyDescent="0.15">
      <c r="B254" s="4"/>
    </row>
    <row r="255" spans="2:2" ht="13" x14ac:dyDescent="0.15">
      <c r="B255" s="4"/>
    </row>
    <row r="256" spans="2:2" ht="13" x14ac:dyDescent="0.15">
      <c r="B256" s="4"/>
    </row>
    <row r="257" spans="2:2" ht="13" x14ac:dyDescent="0.15">
      <c r="B257" s="4"/>
    </row>
    <row r="258" spans="2:2" ht="13" x14ac:dyDescent="0.15">
      <c r="B258" s="4"/>
    </row>
    <row r="259" spans="2:2" ht="13" x14ac:dyDescent="0.15">
      <c r="B259" s="4"/>
    </row>
    <row r="260" spans="2:2" ht="13" x14ac:dyDescent="0.15">
      <c r="B260" s="4"/>
    </row>
    <row r="261" spans="2:2" ht="13" x14ac:dyDescent="0.15">
      <c r="B261" s="4"/>
    </row>
    <row r="262" spans="2:2" ht="13" x14ac:dyDescent="0.15">
      <c r="B262" s="4"/>
    </row>
    <row r="263" spans="2:2" ht="13" x14ac:dyDescent="0.15">
      <c r="B263" s="4"/>
    </row>
    <row r="264" spans="2:2" ht="13" x14ac:dyDescent="0.15">
      <c r="B264" s="4"/>
    </row>
    <row r="265" spans="2:2" ht="13" x14ac:dyDescent="0.15">
      <c r="B265" s="4"/>
    </row>
    <row r="266" spans="2:2" ht="13" x14ac:dyDescent="0.15">
      <c r="B266" s="4"/>
    </row>
    <row r="267" spans="2:2" ht="13" x14ac:dyDescent="0.15">
      <c r="B267" s="4"/>
    </row>
    <row r="268" spans="2:2" ht="13" x14ac:dyDescent="0.15">
      <c r="B268" s="4"/>
    </row>
    <row r="269" spans="2:2" ht="13" x14ac:dyDescent="0.15">
      <c r="B269" s="4"/>
    </row>
    <row r="270" spans="2:2" ht="13" x14ac:dyDescent="0.15">
      <c r="B270" s="4"/>
    </row>
    <row r="271" spans="2:2" ht="13" x14ac:dyDescent="0.15">
      <c r="B271" s="4"/>
    </row>
    <row r="272" spans="2:2" ht="13" x14ac:dyDescent="0.15">
      <c r="B272" s="4"/>
    </row>
    <row r="273" spans="2:2" ht="13" x14ac:dyDescent="0.15">
      <c r="B273" s="4"/>
    </row>
    <row r="274" spans="2:2" ht="13" x14ac:dyDescent="0.15">
      <c r="B274" s="4"/>
    </row>
    <row r="275" spans="2:2" ht="13" x14ac:dyDescent="0.15">
      <c r="B275" s="4"/>
    </row>
    <row r="276" spans="2:2" ht="13" x14ac:dyDescent="0.15">
      <c r="B276" s="4"/>
    </row>
    <row r="277" spans="2:2" ht="13" x14ac:dyDescent="0.15">
      <c r="B277" s="4"/>
    </row>
    <row r="278" spans="2:2" ht="13" x14ac:dyDescent="0.15">
      <c r="B278" s="4"/>
    </row>
    <row r="279" spans="2:2" ht="13" x14ac:dyDescent="0.15">
      <c r="B279" s="4"/>
    </row>
    <row r="280" spans="2:2" ht="13" x14ac:dyDescent="0.15">
      <c r="B280" s="4"/>
    </row>
    <row r="281" spans="2:2" ht="13" x14ac:dyDescent="0.15">
      <c r="B281" s="4"/>
    </row>
    <row r="282" spans="2:2" ht="13" x14ac:dyDescent="0.15">
      <c r="B282" s="4"/>
    </row>
    <row r="283" spans="2:2" ht="13" x14ac:dyDescent="0.15">
      <c r="B283" s="4"/>
    </row>
    <row r="284" spans="2:2" ht="13" x14ac:dyDescent="0.15">
      <c r="B284" s="4"/>
    </row>
    <row r="285" spans="2:2" ht="13" x14ac:dyDescent="0.15">
      <c r="B285" s="4"/>
    </row>
    <row r="286" spans="2:2" ht="13" x14ac:dyDescent="0.15">
      <c r="B286" s="4"/>
    </row>
    <row r="287" spans="2:2" ht="13" x14ac:dyDescent="0.15">
      <c r="B287" s="4"/>
    </row>
    <row r="288" spans="2:2" ht="13" x14ac:dyDescent="0.15">
      <c r="B288" s="4"/>
    </row>
    <row r="289" spans="2:2" ht="13" x14ac:dyDescent="0.15">
      <c r="B289" s="4"/>
    </row>
    <row r="290" spans="2:2" ht="13" x14ac:dyDescent="0.15">
      <c r="B290" s="4"/>
    </row>
    <row r="291" spans="2:2" ht="13" x14ac:dyDescent="0.15">
      <c r="B291" s="4"/>
    </row>
    <row r="292" spans="2:2" ht="13" x14ac:dyDescent="0.15">
      <c r="B292" s="4"/>
    </row>
    <row r="293" spans="2:2" ht="13" x14ac:dyDescent="0.15">
      <c r="B293" s="4"/>
    </row>
    <row r="294" spans="2:2" ht="13" x14ac:dyDescent="0.15">
      <c r="B294" s="4"/>
    </row>
    <row r="295" spans="2:2" ht="13" x14ac:dyDescent="0.15">
      <c r="B295" s="4"/>
    </row>
    <row r="296" spans="2:2" ht="13" x14ac:dyDescent="0.15">
      <c r="B296" s="4"/>
    </row>
    <row r="297" spans="2:2" ht="13" x14ac:dyDescent="0.15">
      <c r="B297" s="4"/>
    </row>
    <row r="298" spans="2:2" ht="13" x14ac:dyDescent="0.15">
      <c r="B298" s="4"/>
    </row>
    <row r="299" spans="2:2" ht="13" x14ac:dyDescent="0.15">
      <c r="B299" s="4"/>
    </row>
    <row r="300" spans="2:2" ht="13" x14ac:dyDescent="0.15">
      <c r="B300" s="4"/>
    </row>
    <row r="301" spans="2:2" ht="13" x14ac:dyDescent="0.15">
      <c r="B301" s="4"/>
    </row>
    <row r="302" spans="2:2" ht="13" x14ac:dyDescent="0.15">
      <c r="B302" s="4"/>
    </row>
    <row r="303" spans="2:2" ht="13" x14ac:dyDescent="0.15">
      <c r="B303" s="4"/>
    </row>
    <row r="304" spans="2:2" ht="13" x14ac:dyDescent="0.15">
      <c r="B304" s="4"/>
    </row>
    <row r="305" spans="2:2" ht="13" x14ac:dyDescent="0.15">
      <c r="B305" s="4"/>
    </row>
    <row r="306" spans="2:2" ht="13" x14ac:dyDescent="0.15">
      <c r="B306" s="4"/>
    </row>
    <row r="307" spans="2:2" ht="13" x14ac:dyDescent="0.15">
      <c r="B307" s="4"/>
    </row>
    <row r="308" spans="2:2" ht="13" x14ac:dyDescent="0.15">
      <c r="B308" s="4"/>
    </row>
    <row r="309" spans="2:2" ht="13" x14ac:dyDescent="0.15">
      <c r="B309" s="4"/>
    </row>
    <row r="310" spans="2:2" ht="13" x14ac:dyDescent="0.15">
      <c r="B310" s="4"/>
    </row>
    <row r="311" spans="2:2" ht="13" x14ac:dyDescent="0.15">
      <c r="B311" s="4"/>
    </row>
    <row r="312" spans="2:2" ht="13" x14ac:dyDescent="0.15">
      <c r="B312" s="4"/>
    </row>
    <row r="313" spans="2:2" ht="13" x14ac:dyDescent="0.15">
      <c r="B313" s="4"/>
    </row>
    <row r="314" spans="2:2" ht="13" x14ac:dyDescent="0.15">
      <c r="B314" s="4"/>
    </row>
    <row r="315" spans="2:2" ht="13" x14ac:dyDescent="0.15">
      <c r="B315" s="4"/>
    </row>
    <row r="316" spans="2:2" ht="13" x14ac:dyDescent="0.15">
      <c r="B316" s="4"/>
    </row>
    <row r="317" spans="2:2" ht="13" x14ac:dyDescent="0.15">
      <c r="B317" s="4"/>
    </row>
    <row r="318" spans="2:2" ht="13" x14ac:dyDescent="0.15">
      <c r="B318" s="4"/>
    </row>
    <row r="319" spans="2:2" ht="13" x14ac:dyDescent="0.15">
      <c r="B319" s="4"/>
    </row>
    <row r="320" spans="2:2" ht="13" x14ac:dyDescent="0.15">
      <c r="B320" s="4"/>
    </row>
    <row r="321" spans="2:2" ht="13" x14ac:dyDescent="0.15">
      <c r="B321" s="4"/>
    </row>
    <row r="322" spans="2:2" ht="13" x14ac:dyDescent="0.15">
      <c r="B322" s="4"/>
    </row>
    <row r="323" spans="2:2" ht="13" x14ac:dyDescent="0.15">
      <c r="B323" s="4"/>
    </row>
    <row r="324" spans="2:2" ht="13" x14ac:dyDescent="0.15">
      <c r="B324" s="4"/>
    </row>
    <row r="325" spans="2:2" ht="13" x14ac:dyDescent="0.15">
      <c r="B325" s="4"/>
    </row>
    <row r="326" spans="2:2" ht="13" x14ac:dyDescent="0.15">
      <c r="B326" s="4"/>
    </row>
    <row r="327" spans="2:2" ht="13" x14ac:dyDescent="0.15">
      <c r="B327" s="4"/>
    </row>
    <row r="328" spans="2:2" ht="13" x14ac:dyDescent="0.15">
      <c r="B328" s="4"/>
    </row>
    <row r="329" spans="2:2" ht="13" x14ac:dyDescent="0.15">
      <c r="B329" s="4"/>
    </row>
    <row r="330" spans="2:2" ht="13" x14ac:dyDescent="0.15">
      <c r="B330" s="4"/>
    </row>
    <row r="331" spans="2:2" ht="13" x14ac:dyDescent="0.15">
      <c r="B331" s="4"/>
    </row>
    <row r="332" spans="2:2" ht="13" x14ac:dyDescent="0.15">
      <c r="B332" s="4"/>
    </row>
    <row r="333" spans="2:2" ht="13" x14ac:dyDescent="0.15">
      <c r="B333" s="4"/>
    </row>
    <row r="334" spans="2:2" ht="13" x14ac:dyDescent="0.15">
      <c r="B334" s="4"/>
    </row>
    <row r="335" spans="2:2" ht="13" x14ac:dyDescent="0.15">
      <c r="B335" s="4"/>
    </row>
    <row r="336" spans="2:2" ht="13" x14ac:dyDescent="0.15">
      <c r="B336" s="4"/>
    </row>
    <row r="337" spans="2:2" ht="13" x14ac:dyDescent="0.15">
      <c r="B337" s="4"/>
    </row>
    <row r="338" spans="2:2" ht="13" x14ac:dyDescent="0.15">
      <c r="B338" s="4"/>
    </row>
    <row r="339" spans="2:2" ht="13" x14ac:dyDescent="0.15">
      <c r="B339" s="4"/>
    </row>
    <row r="340" spans="2:2" ht="13" x14ac:dyDescent="0.15">
      <c r="B340" s="4"/>
    </row>
    <row r="341" spans="2:2" ht="13" x14ac:dyDescent="0.15">
      <c r="B341" s="4"/>
    </row>
    <row r="342" spans="2:2" ht="13" x14ac:dyDescent="0.15">
      <c r="B342" s="4"/>
    </row>
    <row r="343" spans="2:2" ht="13" x14ac:dyDescent="0.15">
      <c r="B343" s="4"/>
    </row>
    <row r="344" spans="2:2" ht="13" x14ac:dyDescent="0.15">
      <c r="B344" s="4"/>
    </row>
    <row r="345" spans="2:2" ht="13" x14ac:dyDescent="0.15">
      <c r="B345" s="4"/>
    </row>
    <row r="346" spans="2:2" ht="13" x14ac:dyDescent="0.15">
      <c r="B346" s="4"/>
    </row>
    <row r="347" spans="2:2" ht="13" x14ac:dyDescent="0.15">
      <c r="B347" s="4"/>
    </row>
    <row r="348" spans="2:2" ht="13" x14ac:dyDescent="0.15">
      <c r="B348" s="4"/>
    </row>
    <row r="349" spans="2:2" ht="13" x14ac:dyDescent="0.15">
      <c r="B349" s="4"/>
    </row>
    <row r="350" spans="2:2" ht="13" x14ac:dyDescent="0.15">
      <c r="B350" s="4"/>
    </row>
    <row r="351" spans="2:2" ht="13" x14ac:dyDescent="0.15">
      <c r="B351" s="4"/>
    </row>
    <row r="352" spans="2:2" ht="13" x14ac:dyDescent="0.15">
      <c r="B352" s="4"/>
    </row>
    <row r="353" spans="2:2" ht="13" x14ac:dyDescent="0.15">
      <c r="B353" s="4"/>
    </row>
    <row r="354" spans="2:2" ht="13" x14ac:dyDescent="0.15">
      <c r="B354" s="4"/>
    </row>
    <row r="355" spans="2:2" ht="13" x14ac:dyDescent="0.15">
      <c r="B355" s="4"/>
    </row>
    <row r="356" spans="2:2" ht="13" x14ac:dyDescent="0.15">
      <c r="B356" s="4"/>
    </row>
    <row r="357" spans="2:2" ht="13" x14ac:dyDescent="0.15">
      <c r="B357" s="4"/>
    </row>
    <row r="358" spans="2:2" ht="13" x14ac:dyDescent="0.15">
      <c r="B358" s="4"/>
    </row>
    <row r="359" spans="2:2" ht="13" x14ac:dyDescent="0.15">
      <c r="B359" s="4"/>
    </row>
    <row r="360" spans="2:2" ht="13" x14ac:dyDescent="0.15">
      <c r="B360" s="4"/>
    </row>
    <row r="361" spans="2:2" ht="13" x14ac:dyDescent="0.15">
      <c r="B361" s="4"/>
    </row>
    <row r="362" spans="2:2" ht="13" x14ac:dyDescent="0.15">
      <c r="B362" s="4"/>
    </row>
    <row r="363" spans="2:2" ht="13" x14ac:dyDescent="0.15">
      <c r="B363" s="4"/>
    </row>
    <row r="364" spans="2:2" ht="13" x14ac:dyDescent="0.15">
      <c r="B364" s="4"/>
    </row>
    <row r="365" spans="2:2" ht="13" x14ac:dyDescent="0.15">
      <c r="B365" s="4"/>
    </row>
    <row r="366" spans="2:2" ht="13" x14ac:dyDescent="0.15">
      <c r="B366" s="4"/>
    </row>
    <row r="367" spans="2:2" ht="13" x14ac:dyDescent="0.15">
      <c r="B367" s="4"/>
    </row>
    <row r="368" spans="2:2" ht="13" x14ac:dyDescent="0.15">
      <c r="B368" s="4"/>
    </row>
    <row r="369" spans="2:2" ht="13" x14ac:dyDescent="0.15">
      <c r="B369" s="4"/>
    </row>
    <row r="370" spans="2:2" ht="13" x14ac:dyDescent="0.15">
      <c r="B370" s="4"/>
    </row>
    <row r="371" spans="2:2" ht="13" x14ac:dyDescent="0.15">
      <c r="B371" s="4"/>
    </row>
    <row r="372" spans="2:2" ht="13" x14ac:dyDescent="0.15">
      <c r="B372" s="4"/>
    </row>
    <row r="373" spans="2:2" ht="13" x14ac:dyDescent="0.15">
      <c r="B373" s="4"/>
    </row>
    <row r="374" spans="2:2" ht="13" x14ac:dyDescent="0.15">
      <c r="B374" s="4"/>
    </row>
    <row r="375" spans="2:2" ht="13" x14ac:dyDescent="0.15">
      <c r="B375" s="4"/>
    </row>
    <row r="376" spans="2:2" ht="13" x14ac:dyDescent="0.15">
      <c r="B376" s="4"/>
    </row>
    <row r="377" spans="2:2" ht="13" x14ac:dyDescent="0.15">
      <c r="B377" s="4"/>
    </row>
    <row r="378" spans="2:2" ht="13" x14ac:dyDescent="0.15">
      <c r="B378" s="4"/>
    </row>
    <row r="379" spans="2:2" ht="13" x14ac:dyDescent="0.15">
      <c r="B379" s="4"/>
    </row>
    <row r="380" spans="2:2" ht="13" x14ac:dyDescent="0.15">
      <c r="B380" s="4"/>
    </row>
    <row r="381" spans="2:2" ht="13" x14ac:dyDescent="0.15">
      <c r="B381" s="4"/>
    </row>
    <row r="382" spans="2:2" ht="13" x14ac:dyDescent="0.15">
      <c r="B382" s="4"/>
    </row>
    <row r="383" spans="2:2" ht="13" x14ac:dyDescent="0.15">
      <c r="B383" s="4"/>
    </row>
    <row r="384" spans="2:2" ht="13" x14ac:dyDescent="0.15">
      <c r="B384" s="4"/>
    </row>
    <row r="385" spans="2:2" ht="13" x14ac:dyDescent="0.15">
      <c r="B385" s="4"/>
    </row>
    <row r="386" spans="2:2" ht="13" x14ac:dyDescent="0.15">
      <c r="B386" s="4"/>
    </row>
    <row r="387" spans="2:2" ht="13" x14ac:dyDescent="0.15">
      <c r="B387" s="4"/>
    </row>
    <row r="388" spans="2:2" ht="13" x14ac:dyDescent="0.15">
      <c r="B388" s="4"/>
    </row>
    <row r="389" spans="2:2" ht="13" x14ac:dyDescent="0.15">
      <c r="B389" s="4"/>
    </row>
    <row r="390" spans="2:2" ht="13" x14ac:dyDescent="0.15">
      <c r="B390" s="4"/>
    </row>
    <row r="391" spans="2:2" ht="13" x14ac:dyDescent="0.15">
      <c r="B391" s="4"/>
    </row>
    <row r="392" spans="2:2" ht="13" x14ac:dyDescent="0.15">
      <c r="B392" s="4"/>
    </row>
    <row r="393" spans="2:2" ht="13" x14ac:dyDescent="0.15">
      <c r="B393" s="4"/>
    </row>
    <row r="394" spans="2:2" ht="13" x14ac:dyDescent="0.15">
      <c r="B394" s="4"/>
    </row>
    <row r="395" spans="2:2" ht="13" x14ac:dyDescent="0.15">
      <c r="B395" s="4"/>
    </row>
    <row r="396" spans="2:2" ht="13" x14ac:dyDescent="0.15">
      <c r="B396" s="4"/>
    </row>
    <row r="397" spans="2:2" ht="13" x14ac:dyDescent="0.15">
      <c r="B397" s="4"/>
    </row>
    <row r="398" spans="2:2" ht="13" x14ac:dyDescent="0.15">
      <c r="B398" s="4"/>
    </row>
    <row r="399" spans="2:2" ht="13" x14ac:dyDescent="0.15">
      <c r="B399" s="4"/>
    </row>
    <row r="400" spans="2:2" ht="13" x14ac:dyDescent="0.15">
      <c r="B400" s="4"/>
    </row>
    <row r="401" spans="2:2" ht="13" x14ac:dyDescent="0.15">
      <c r="B401" s="4"/>
    </row>
    <row r="402" spans="2:2" ht="13" x14ac:dyDescent="0.15">
      <c r="B402" s="4"/>
    </row>
    <row r="403" spans="2:2" ht="13" x14ac:dyDescent="0.15">
      <c r="B403" s="4"/>
    </row>
    <row r="404" spans="2:2" ht="13" x14ac:dyDescent="0.15">
      <c r="B404" s="4"/>
    </row>
    <row r="405" spans="2:2" ht="13" x14ac:dyDescent="0.15">
      <c r="B405" s="4"/>
    </row>
    <row r="406" spans="2:2" ht="13" x14ac:dyDescent="0.15">
      <c r="B406" s="4"/>
    </row>
    <row r="407" spans="2:2" ht="13" x14ac:dyDescent="0.15">
      <c r="B407" s="4"/>
    </row>
    <row r="408" spans="2:2" ht="13" x14ac:dyDescent="0.15">
      <c r="B408" s="4"/>
    </row>
    <row r="409" spans="2:2" ht="13" x14ac:dyDescent="0.15">
      <c r="B409" s="4"/>
    </row>
    <row r="410" spans="2:2" ht="13" x14ac:dyDescent="0.15">
      <c r="B410" s="4"/>
    </row>
    <row r="411" spans="2:2" ht="13" x14ac:dyDescent="0.15">
      <c r="B411" s="4"/>
    </row>
    <row r="412" spans="2:2" ht="13" x14ac:dyDescent="0.15">
      <c r="B412" s="4"/>
    </row>
    <row r="413" spans="2:2" ht="13" x14ac:dyDescent="0.15">
      <c r="B413" s="4"/>
    </row>
    <row r="414" spans="2:2" ht="13" x14ac:dyDescent="0.15">
      <c r="B414" s="4"/>
    </row>
    <row r="415" spans="2:2" ht="13" x14ac:dyDescent="0.15">
      <c r="B415" s="4"/>
    </row>
    <row r="416" spans="2:2" ht="13" x14ac:dyDescent="0.15">
      <c r="B416" s="4"/>
    </row>
    <row r="417" spans="2:2" ht="13" x14ac:dyDescent="0.15">
      <c r="B417" s="4"/>
    </row>
    <row r="418" spans="2:2" ht="13" x14ac:dyDescent="0.15">
      <c r="B418" s="4"/>
    </row>
    <row r="419" spans="2:2" ht="13" x14ac:dyDescent="0.15">
      <c r="B419" s="4"/>
    </row>
    <row r="420" spans="2:2" ht="13" x14ac:dyDescent="0.15">
      <c r="B420" s="4"/>
    </row>
    <row r="421" spans="2:2" ht="13" x14ac:dyDescent="0.15">
      <c r="B421" s="4"/>
    </row>
    <row r="422" spans="2:2" ht="13" x14ac:dyDescent="0.15">
      <c r="B422" s="4"/>
    </row>
    <row r="423" spans="2:2" ht="13" x14ac:dyDescent="0.15">
      <c r="B423" s="4"/>
    </row>
    <row r="424" spans="2:2" ht="13" x14ac:dyDescent="0.15">
      <c r="B424" s="4"/>
    </row>
    <row r="425" spans="2:2" ht="13" x14ac:dyDescent="0.15">
      <c r="B425" s="4"/>
    </row>
    <row r="426" spans="2:2" ht="13" x14ac:dyDescent="0.15">
      <c r="B426" s="4"/>
    </row>
    <row r="427" spans="2:2" ht="13" x14ac:dyDescent="0.15">
      <c r="B427" s="4"/>
    </row>
    <row r="428" spans="2:2" ht="13" x14ac:dyDescent="0.15">
      <c r="B428" s="4"/>
    </row>
    <row r="429" spans="2:2" ht="13" x14ac:dyDescent="0.15">
      <c r="B429" s="4"/>
    </row>
    <row r="430" spans="2:2" ht="13" x14ac:dyDescent="0.15">
      <c r="B430" s="4"/>
    </row>
    <row r="431" spans="2:2" ht="13" x14ac:dyDescent="0.15">
      <c r="B431" s="4"/>
    </row>
    <row r="432" spans="2:2" ht="13" x14ac:dyDescent="0.15">
      <c r="B432" s="4"/>
    </row>
    <row r="433" spans="2:2" ht="13" x14ac:dyDescent="0.15">
      <c r="B433" s="4"/>
    </row>
    <row r="434" spans="2:2" ht="13" x14ac:dyDescent="0.15">
      <c r="B434" s="4"/>
    </row>
    <row r="435" spans="2:2" ht="13" x14ac:dyDescent="0.15">
      <c r="B435" s="4"/>
    </row>
    <row r="436" spans="2:2" ht="13" x14ac:dyDescent="0.15">
      <c r="B436" s="4"/>
    </row>
    <row r="437" spans="2:2" ht="13" x14ac:dyDescent="0.15">
      <c r="B437" s="4"/>
    </row>
    <row r="438" spans="2:2" ht="13" x14ac:dyDescent="0.15">
      <c r="B438" s="4"/>
    </row>
    <row r="439" spans="2:2" ht="13" x14ac:dyDescent="0.15">
      <c r="B439" s="4"/>
    </row>
    <row r="440" spans="2:2" ht="13" x14ac:dyDescent="0.15">
      <c r="B440" s="4"/>
    </row>
    <row r="441" spans="2:2" ht="13" x14ac:dyDescent="0.15">
      <c r="B441" s="4"/>
    </row>
    <row r="442" spans="2:2" ht="13" x14ac:dyDescent="0.15">
      <c r="B442" s="4"/>
    </row>
    <row r="443" spans="2:2" ht="13" x14ac:dyDescent="0.15">
      <c r="B443" s="4"/>
    </row>
    <row r="444" spans="2:2" ht="13" x14ac:dyDescent="0.15">
      <c r="B444" s="4"/>
    </row>
    <row r="445" spans="2:2" ht="13" x14ac:dyDescent="0.15">
      <c r="B445" s="4"/>
    </row>
    <row r="446" spans="2:2" ht="13" x14ac:dyDescent="0.15">
      <c r="B446" s="4"/>
    </row>
    <row r="447" spans="2:2" ht="13" x14ac:dyDescent="0.15">
      <c r="B447" s="4"/>
    </row>
    <row r="448" spans="2:2" ht="13" x14ac:dyDescent="0.15">
      <c r="B448" s="4"/>
    </row>
    <row r="449" spans="2:2" ht="13" x14ac:dyDescent="0.15">
      <c r="B449" s="4"/>
    </row>
    <row r="450" spans="2:2" ht="13" x14ac:dyDescent="0.15">
      <c r="B450" s="4"/>
    </row>
    <row r="451" spans="2:2" ht="13" x14ac:dyDescent="0.15">
      <c r="B451" s="4"/>
    </row>
    <row r="452" spans="2:2" ht="13" x14ac:dyDescent="0.15">
      <c r="B452" s="4"/>
    </row>
    <row r="453" spans="2:2" ht="13" x14ac:dyDescent="0.15">
      <c r="B453" s="4"/>
    </row>
    <row r="454" spans="2:2" ht="13" x14ac:dyDescent="0.15">
      <c r="B454" s="4"/>
    </row>
    <row r="455" spans="2:2" ht="13" x14ac:dyDescent="0.15">
      <c r="B455" s="4"/>
    </row>
    <row r="456" spans="2:2" ht="13" x14ac:dyDescent="0.15">
      <c r="B456" s="4"/>
    </row>
    <row r="457" spans="2:2" ht="13" x14ac:dyDescent="0.15">
      <c r="B457" s="4"/>
    </row>
    <row r="458" spans="2:2" ht="13" x14ac:dyDescent="0.15">
      <c r="B458" s="4"/>
    </row>
    <row r="459" spans="2:2" ht="13" x14ac:dyDescent="0.15">
      <c r="B459" s="4"/>
    </row>
    <row r="460" spans="2:2" ht="13" x14ac:dyDescent="0.15">
      <c r="B460" s="4"/>
    </row>
    <row r="461" spans="2:2" ht="13" x14ac:dyDescent="0.15">
      <c r="B461" s="4"/>
    </row>
    <row r="462" spans="2:2" ht="13" x14ac:dyDescent="0.15">
      <c r="B462" s="4"/>
    </row>
    <row r="463" spans="2:2" ht="13" x14ac:dyDescent="0.15">
      <c r="B463" s="4"/>
    </row>
    <row r="464" spans="2:2" ht="13" x14ac:dyDescent="0.15">
      <c r="B464" s="4"/>
    </row>
    <row r="465" spans="2:2" ht="13" x14ac:dyDescent="0.15">
      <c r="B465" s="4"/>
    </row>
    <row r="466" spans="2:2" ht="13" x14ac:dyDescent="0.15">
      <c r="B466" s="4"/>
    </row>
    <row r="467" spans="2:2" ht="13" x14ac:dyDescent="0.15">
      <c r="B467" s="4"/>
    </row>
    <row r="468" spans="2:2" ht="13" x14ac:dyDescent="0.15">
      <c r="B468" s="4"/>
    </row>
    <row r="469" spans="2:2" ht="13" x14ac:dyDescent="0.15">
      <c r="B469" s="4"/>
    </row>
    <row r="470" spans="2:2" ht="13" x14ac:dyDescent="0.15">
      <c r="B470" s="4"/>
    </row>
    <row r="471" spans="2:2" ht="13" x14ac:dyDescent="0.15">
      <c r="B471" s="4"/>
    </row>
    <row r="472" spans="2:2" ht="13" x14ac:dyDescent="0.15">
      <c r="B472" s="4"/>
    </row>
    <row r="473" spans="2:2" ht="13" x14ac:dyDescent="0.15">
      <c r="B473" s="4"/>
    </row>
    <row r="474" spans="2:2" ht="13" x14ac:dyDescent="0.15">
      <c r="B474" s="4"/>
    </row>
    <row r="475" spans="2:2" ht="13" x14ac:dyDescent="0.15">
      <c r="B475" s="4"/>
    </row>
    <row r="476" spans="2:2" ht="13" x14ac:dyDescent="0.15">
      <c r="B476" s="4"/>
    </row>
    <row r="477" spans="2:2" ht="13" x14ac:dyDescent="0.15">
      <c r="B477" s="4"/>
    </row>
    <row r="478" spans="2:2" ht="13" x14ac:dyDescent="0.15">
      <c r="B478" s="4"/>
    </row>
    <row r="479" spans="2:2" ht="13" x14ac:dyDescent="0.15">
      <c r="B479" s="4"/>
    </row>
    <row r="480" spans="2:2" ht="13" x14ac:dyDescent="0.15">
      <c r="B480" s="4"/>
    </row>
    <row r="481" spans="2:2" ht="13" x14ac:dyDescent="0.15">
      <c r="B481" s="4"/>
    </row>
    <row r="482" spans="2:2" ht="13" x14ac:dyDescent="0.15">
      <c r="B482" s="4"/>
    </row>
    <row r="483" spans="2:2" ht="13" x14ac:dyDescent="0.15">
      <c r="B483" s="4"/>
    </row>
    <row r="484" spans="2:2" ht="13" x14ac:dyDescent="0.15">
      <c r="B484" s="4"/>
    </row>
    <row r="485" spans="2:2" ht="13" x14ac:dyDescent="0.15">
      <c r="B485" s="4"/>
    </row>
    <row r="486" spans="2:2" ht="13" x14ac:dyDescent="0.15">
      <c r="B486" s="4"/>
    </row>
    <row r="487" spans="2:2" ht="13" x14ac:dyDescent="0.15">
      <c r="B487" s="4"/>
    </row>
    <row r="488" spans="2:2" ht="13" x14ac:dyDescent="0.15">
      <c r="B488" s="4"/>
    </row>
    <row r="489" spans="2:2" ht="13" x14ac:dyDescent="0.15">
      <c r="B489" s="4"/>
    </row>
    <row r="490" spans="2:2" ht="13" x14ac:dyDescent="0.15">
      <c r="B490" s="4"/>
    </row>
    <row r="491" spans="2:2" ht="13" x14ac:dyDescent="0.15">
      <c r="B491" s="4"/>
    </row>
    <row r="492" spans="2:2" ht="13" x14ac:dyDescent="0.15">
      <c r="B492" s="4"/>
    </row>
    <row r="493" spans="2:2" ht="13" x14ac:dyDescent="0.15">
      <c r="B493" s="4"/>
    </row>
    <row r="494" spans="2:2" ht="13" x14ac:dyDescent="0.15">
      <c r="B494" s="4"/>
    </row>
    <row r="495" spans="2:2" ht="13" x14ac:dyDescent="0.15">
      <c r="B495" s="4"/>
    </row>
    <row r="496" spans="2:2" ht="13" x14ac:dyDescent="0.15">
      <c r="B496" s="4"/>
    </row>
    <row r="497" spans="2:2" ht="13" x14ac:dyDescent="0.15">
      <c r="B497" s="4"/>
    </row>
    <row r="498" spans="2:2" ht="13" x14ac:dyDescent="0.15">
      <c r="B498" s="4"/>
    </row>
    <row r="499" spans="2:2" ht="13" x14ac:dyDescent="0.15">
      <c r="B499" s="4"/>
    </row>
    <row r="500" spans="2:2" ht="13" x14ac:dyDescent="0.15">
      <c r="B500" s="4"/>
    </row>
    <row r="501" spans="2:2" ht="13" x14ac:dyDescent="0.15">
      <c r="B501" s="4"/>
    </row>
    <row r="502" spans="2:2" ht="13" x14ac:dyDescent="0.15">
      <c r="B502" s="4"/>
    </row>
    <row r="503" spans="2:2" ht="13" x14ac:dyDescent="0.15">
      <c r="B503" s="4"/>
    </row>
    <row r="504" spans="2:2" ht="13" x14ac:dyDescent="0.15">
      <c r="B504" s="4"/>
    </row>
    <row r="505" spans="2:2" ht="13" x14ac:dyDescent="0.15">
      <c r="B505" s="4"/>
    </row>
    <row r="506" spans="2:2" ht="13" x14ac:dyDescent="0.15">
      <c r="B506" s="4"/>
    </row>
    <row r="507" spans="2:2" ht="13" x14ac:dyDescent="0.15">
      <c r="B507" s="4"/>
    </row>
    <row r="508" spans="2:2" ht="13" x14ac:dyDescent="0.15">
      <c r="B508" s="4"/>
    </row>
    <row r="509" spans="2:2" ht="13" x14ac:dyDescent="0.15">
      <c r="B509" s="4"/>
    </row>
    <row r="510" spans="2:2" ht="13" x14ac:dyDescent="0.15">
      <c r="B510" s="4"/>
    </row>
    <row r="511" spans="2:2" ht="13" x14ac:dyDescent="0.15">
      <c r="B511" s="4"/>
    </row>
    <row r="512" spans="2:2" ht="13" x14ac:dyDescent="0.15">
      <c r="B512" s="4"/>
    </row>
    <row r="513" spans="2:2" ht="13" x14ac:dyDescent="0.15">
      <c r="B513" s="4"/>
    </row>
    <row r="514" spans="2:2" ht="13" x14ac:dyDescent="0.15">
      <c r="B514" s="4"/>
    </row>
    <row r="515" spans="2:2" ht="13" x14ac:dyDescent="0.15">
      <c r="B515" s="4"/>
    </row>
    <row r="516" spans="2:2" ht="13" x14ac:dyDescent="0.15">
      <c r="B516" s="4"/>
    </row>
    <row r="517" spans="2:2" ht="13" x14ac:dyDescent="0.15">
      <c r="B517" s="4"/>
    </row>
    <row r="518" spans="2:2" ht="13" x14ac:dyDescent="0.15">
      <c r="B518" s="4"/>
    </row>
    <row r="519" spans="2:2" ht="13" x14ac:dyDescent="0.15">
      <c r="B519" s="4"/>
    </row>
    <row r="520" spans="2:2" ht="13" x14ac:dyDescent="0.15">
      <c r="B520" s="4"/>
    </row>
    <row r="521" spans="2:2" ht="13" x14ac:dyDescent="0.15">
      <c r="B521" s="4"/>
    </row>
    <row r="522" spans="2:2" ht="13" x14ac:dyDescent="0.15">
      <c r="B522" s="4"/>
    </row>
    <row r="523" spans="2:2" ht="13" x14ac:dyDescent="0.15">
      <c r="B523" s="4"/>
    </row>
    <row r="524" spans="2:2" ht="13" x14ac:dyDescent="0.15">
      <c r="B524" s="4"/>
    </row>
    <row r="525" spans="2:2" ht="13" x14ac:dyDescent="0.15">
      <c r="B525" s="4"/>
    </row>
    <row r="526" spans="2:2" ht="13" x14ac:dyDescent="0.15">
      <c r="B526" s="4"/>
    </row>
    <row r="527" spans="2:2" ht="13" x14ac:dyDescent="0.15">
      <c r="B527" s="4"/>
    </row>
    <row r="528" spans="2:2" ht="13" x14ac:dyDescent="0.15">
      <c r="B528" s="4"/>
    </row>
    <row r="529" spans="2:2" ht="13" x14ac:dyDescent="0.15">
      <c r="B529" s="4"/>
    </row>
    <row r="530" spans="2:2" ht="13" x14ac:dyDescent="0.15">
      <c r="B530" s="4"/>
    </row>
    <row r="531" spans="2:2" ht="13" x14ac:dyDescent="0.15">
      <c r="B531" s="4"/>
    </row>
    <row r="532" spans="2:2" ht="13" x14ac:dyDescent="0.15">
      <c r="B532" s="4"/>
    </row>
    <row r="533" spans="2:2" ht="13" x14ac:dyDescent="0.15">
      <c r="B533" s="4"/>
    </row>
    <row r="534" spans="2:2" ht="13" x14ac:dyDescent="0.15">
      <c r="B534" s="4"/>
    </row>
    <row r="535" spans="2:2" ht="13" x14ac:dyDescent="0.15">
      <c r="B535" s="4"/>
    </row>
    <row r="536" spans="2:2" ht="13" x14ac:dyDescent="0.15">
      <c r="B536" s="4"/>
    </row>
    <row r="537" spans="2:2" ht="13" x14ac:dyDescent="0.15">
      <c r="B537" s="4"/>
    </row>
    <row r="538" spans="2:2" ht="13" x14ac:dyDescent="0.15">
      <c r="B538" s="4"/>
    </row>
    <row r="539" spans="2:2" ht="13" x14ac:dyDescent="0.15">
      <c r="B539" s="4"/>
    </row>
    <row r="540" spans="2:2" ht="13" x14ac:dyDescent="0.15">
      <c r="B540" s="4"/>
    </row>
    <row r="541" spans="2:2" ht="13" x14ac:dyDescent="0.15">
      <c r="B541" s="4"/>
    </row>
    <row r="542" spans="2:2" ht="13" x14ac:dyDescent="0.15">
      <c r="B542" s="4"/>
    </row>
    <row r="543" spans="2:2" ht="13" x14ac:dyDescent="0.15">
      <c r="B543" s="4"/>
    </row>
    <row r="544" spans="2:2" ht="13" x14ac:dyDescent="0.15">
      <c r="B544" s="4"/>
    </row>
    <row r="545" spans="2:2" ht="13" x14ac:dyDescent="0.15">
      <c r="B545" s="4"/>
    </row>
    <row r="546" spans="2:2" ht="13" x14ac:dyDescent="0.15">
      <c r="B546" s="4"/>
    </row>
    <row r="547" spans="2:2" ht="13" x14ac:dyDescent="0.15">
      <c r="B547" s="4"/>
    </row>
    <row r="548" spans="2:2" ht="13" x14ac:dyDescent="0.15">
      <c r="B548" s="4"/>
    </row>
    <row r="549" spans="2:2" ht="13" x14ac:dyDescent="0.15">
      <c r="B549" s="4"/>
    </row>
    <row r="550" spans="2:2" ht="13" x14ac:dyDescent="0.15">
      <c r="B550" s="4"/>
    </row>
    <row r="551" spans="2:2" ht="13" x14ac:dyDescent="0.15">
      <c r="B551" s="4"/>
    </row>
    <row r="552" spans="2:2" ht="13" x14ac:dyDescent="0.15">
      <c r="B552" s="4"/>
    </row>
    <row r="553" spans="2:2" ht="13" x14ac:dyDescent="0.15">
      <c r="B553" s="4"/>
    </row>
    <row r="554" spans="2:2" ht="13" x14ac:dyDescent="0.15">
      <c r="B554" s="4"/>
    </row>
    <row r="555" spans="2:2" ht="13" x14ac:dyDescent="0.15">
      <c r="B555" s="4"/>
    </row>
    <row r="556" spans="2:2" ht="13" x14ac:dyDescent="0.15">
      <c r="B556" s="4"/>
    </row>
    <row r="557" spans="2:2" ht="13" x14ac:dyDescent="0.15">
      <c r="B557" s="4"/>
    </row>
    <row r="558" spans="2:2" ht="13" x14ac:dyDescent="0.15">
      <c r="B558" s="4"/>
    </row>
    <row r="559" spans="2:2" ht="13" x14ac:dyDescent="0.15">
      <c r="B559" s="4"/>
    </row>
    <row r="560" spans="2:2" ht="13" x14ac:dyDescent="0.15">
      <c r="B560" s="4"/>
    </row>
    <row r="561" spans="2:2" ht="13" x14ac:dyDescent="0.15">
      <c r="B561" s="4"/>
    </row>
    <row r="562" spans="2:2" ht="13" x14ac:dyDescent="0.15">
      <c r="B562" s="4"/>
    </row>
    <row r="563" spans="2:2" ht="13" x14ac:dyDescent="0.15">
      <c r="B563" s="4"/>
    </row>
    <row r="564" spans="2:2" ht="13" x14ac:dyDescent="0.15">
      <c r="B564" s="4"/>
    </row>
    <row r="565" spans="2:2" ht="13" x14ac:dyDescent="0.15">
      <c r="B565" s="4"/>
    </row>
    <row r="566" spans="2:2" ht="13" x14ac:dyDescent="0.15">
      <c r="B566" s="4"/>
    </row>
    <row r="567" spans="2:2" ht="13" x14ac:dyDescent="0.15">
      <c r="B567" s="4"/>
    </row>
    <row r="568" spans="2:2" ht="13" x14ac:dyDescent="0.15">
      <c r="B568" s="4"/>
    </row>
    <row r="569" spans="2:2" ht="13" x14ac:dyDescent="0.15">
      <c r="B569" s="4"/>
    </row>
    <row r="570" spans="2:2" ht="13" x14ac:dyDescent="0.15">
      <c r="B570" s="4"/>
    </row>
    <row r="571" spans="2:2" ht="13" x14ac:dyDescent="0.15">
      <c r="B571" s="4"/>
    </row>
    <row r="572" spans="2:2" ht="13" x14ac:dyDescent="0.15">
      <c r="B572" s="4"/>
    </row>
    <row r="573" spans="2:2" ht="13" x14ac:dyDescent="0.15">
      <c r="B573" s="4"/>
    </row>
    <row r="574" spans="2:2" ht="13" x14ac:dyDescent="0.15">
      <c r="B574" s="4"/>
    </row>
    <row r="575" spans="2:2" ht="13" x14ac:dyDescent="0.15">
      <c r="B575" s="4"/>
    </row>
    <row r="576" spans="2:2" ht="13" x14ac:dyDescent="0.15">
      <c r="B576" s="4"/>
    </row>
    <row r="577" spans="2:2" ht="13" x14ac:dyDescent="0.15">
      <c r="B577" s="4"/>
    </row>
    <row r="578" spans="2:2" ht="13" x14ac:dyDescent="0.15">
      <c r="B578" s="4"/>
    </row>
    <row r="579" spans="2:2" ht="13" x14ac:dyDescent="0.15">
      <c r="B579" s="4"/>
    </row>
    <row r="580" spans="2:2" ht="13" x14ac:dyDescent="0.15">
      <c r="B580" s="4"/>
    </row>
    <row r="581" spans="2:2" ht="13" x14ac:dyDescent="0.15">
      <c r="B581" s="4"/>
    </row>
    <row r="582" spans="2:2" ht="13" x14ac:dyDescent="0.15">
      <c r="B582" s="4"/>
    </row>
    <row r="583" spans="2:2" ht="13" x14ac:dyDescent="0.15">
      <c r="B583" s="4"/>
    </row>
    <row r="584" spans="2:2" ht="13" x14ac:dyDescent="0.15">
      <c r="B584" s="4"/>
    </row>
    <row r="585" spans="2:2" ht="13" x14ac:dyDescent="0.15">
      <c r="B585" s="4"/>
    </row>
    <row r="586" spans="2:2" ht="13" x14ac:dyDescent="0.15">
      <c r="B586" s="4"/>
    </row>
    <row r="587" spans="2:2" ht="13" x14ac:dyDescent="0.15">
      <c r="B587" s="4"/>
    </row>
    <row r="588" spans="2:2" ht="13" x14ac:dyDescent="0.15">
      <c r="B588" s="4"/>
    </row>
    <row r="589" spans="2:2" ht="13" x14ac:dyDescent="0.15">
      <c r="B589" s="4"/>
    </row>
    <row r="590" spans="2:2" ht="13" x14ac:dyDescent="0.15">
      <c r="B590" s="4"/>
    </row>
    <row r="591" spans="2:2" ht="13" x14ac:dyDescent="0.15">
      <c r="B591" s="4"/>
    </row>
    <row r="592" spans="2:2" ht="13" x14ac:dyDescent="0.15">
      <c r="B592" s="4"/>
    </row>
    <row r="593" spans="2:2" ht="13" x14ac:dyDescent="0.15">
      <c r="B593" s="4"/>
    </row>
    <row r="594" spans="2:2" ht="13" x14ac:dyDescent="0.15">
      <c r="B594" s="4"/>
    </row>
    <row r="595" spans="2:2" ht="13" x14ac:dyDescent="0.15">
      <c r="B595" s="4"/>
    </row>
    <row r="596" spans="2:2" ht="13" x14ac:dyDescent="0.15">
      <c r="B596" s="4"/>
    </row>
    <row r="597" spans="2:2" ht="13" x14ac:dyDescent="0.15">
      <c r="B597" s="4"/>
    </row>
    <row r="598" spans="2:2" ht="13" x14ac:dyDescent="0.15">
      <c r="B598" s="4"/>
    </row>
    <row r="599" spans="2:2" ht="13" x14ac:dyDescent="0.15">
      <c r="B599" s="4"/>
    </row>
    <row r="600" spans="2:2" ht="13" x14ac:dyDescent="0.15">
      <c r="B600" s="4"/>
    </row>
    <row r="601" spans="2:2" ht="13" x14ac:dyDescent="0.15">
      <c r="B601" s="4"/>
    </row>
    <row r="602" spans="2:2" ht="13" x14ac:dyDescent="0.15">
      <c r="B602" s="4"/>
    </row>
    <row r="603" spans="2:2" ht="13" x14ac:dyDescent="0.15">
      <c r="B603" s="4"/>
    </row>
    <row r="604" spans="2:2" ht="13" x14ac:dyDescent="0.15">
      <c r="B604" s="4"/>
    </row>
    <row r="605" spans="2:2" ht="13" x14ac:dyDescent="0.15">
      <c r="B605" s="4"/>
    </row>
    <row r="606" spans="2:2" ht="13" x14ac:dyDescent="0.15">
      <c r="B606" s="4"/>
    </row>
    <row r="607" spans="2:2" ht="13" x14ac:dyDescent="0.15">
      <c r="B607" s="4"/>
    </row>
    <row r="608" spans="2:2" ht="13" x14ac:dyDescent="0.15">
      <c r="B608" s="4"/>
    </row>
    <row r="609" spans="2:2" ht="13" x14ac:dyDescent="0.15">
      <c r="B609" s="4"/>
    </row>
    <row r="610" spans="2:2" ht="13" x14ac:dyDescent="0.15">
      <c r="B610" s="4"/>
    </row>
    <row r="611" spans="2:2" ht="13" x14ac:dyDescent="0.15">
      <c r="B611" s="4"/>
    </row>
    <row r="612" spans="2:2" ht="13" x14ac:dyDescent="0.15">
      <c r="B612" s="4"/>
    </row>
    <row r="613" spans="2:2" ht="13" x14ac:dyDescent="0.15">
      <c r="B613" s="4"/>
    </row>
    <row r="614" spans="2:2" ht="13" x14ac:dyDescent="0.15">
      <c r="B614" s="4"/>
    </row>
    <row r="615" spans="2:2" ht="13" x14ac:dyDescent="0.15">
      <c r="B615" s="4"/>
    </row>
    <row r="616" spans="2:2" ht="13" x14ac:dyDescent="0.15">
      <c r="B616" s="4"/>
    </row>
    <row r="617" spans="2:2" ht="13" x14ac:dyDescent="0.15">
      <c r="B617" s="4"/>
    </row>
    <row r="618" spans="2:2" ht="13" x14ac:dyDescent="0.15">
      <c r="B618" s="4"/>
    </row>
    <row r="619" spans="2:2" ht="13" x14ac:dyDescent="0.15">
      <c r="B619" s="4"/>
    </row>
    <row r="620" spans="2:2" ht="13" x14ac:dyDescent="0.15">
      <c r="B620" s="4"/>
    </row>
    <row r="621" spans="2:2" ht="13" x14ac:dyDescent="0.15">
      <c r="B621" s="4"/>
    </row>
    <row r="622" spans="2:2" ht="13" x14ac:dyDescent="0.15">
      <c r="B622" s="4"/>
    </row>
    <row r="623" spans="2:2" ht="13" x14ac:dyDescent="0.15">
      <c r="B623" s="4"/>
    </row>
    <row r="624" spans="2:2" ht="13" x14ac:dyDescent="0.15">
      <c r="B624" s="4"/>
    </row>
    <row r="625" spans="2:2" ht="13" x14ac:dyDescent="0.15">
      <c r="B625" s="4"/>
    </row>
    <row r="626" spans="2:2" ht="13" x14ac:dyDescent="0.15">
      <c r="B626" s="4"/>
    </row>
    <row r="627" spans="2:2" ht="13" x14ac:dyDescent="0.15">
      <c r="B627" s="4"/>
    </row>
    <row r="628" spans="2:2" ht="13" x14ac:dyDescent="0.15">
      <c r="B628" s="4"/>
    </row>
    <row r="629" spans="2:2" ht="13" x14ac:dyDescent="0.15">
      <c r="B629" s="4"/>
    </row>
    <row r="630" spans="2:2" ht="13" x14ac:dyDescent="0.15">
      <c r="B630" s="4"/>
    </row>
    <row r="631" spans="2:2" ht="13" x14ac:dyDescent="0.15">
      <c r="B631" s="4"/>
    </row>
    <row r="632" spans="2:2" ht="13" x14ac:dyDescent="0.15">
      <c r="B632" s="4"/>
    </row>
    <row r="633" spans="2:2" ht="13" x14ac:dyDescent="0.15">
      <c r="B633" s="4"/>
    </row>
    <row r="634" spans="2:2" ht="13" x14ac:dyDescent="0.15">
      <c r="B634" s="4"/>
    </row>
    <row r="635" spans="2:2" ht="13" x14ac:dyDescent="0.15">
      <c r="B635" s="4"/>
    </row>
    <row r="636" spans="2:2" ht="13" x14ac:dyDescent="0.15">
      <c r="B636" s="4"/>
    </row>
    <row r="637" spans="2:2" ht="13" x14ac:dyDescent="0.15">
      <c r="B637" s="4"/>
    </row>
    <row r="638" spans="2:2" ht="13" x14ac:dyDescent="0.15">
      <c r="B638" s="4"/>
    </row>
    <row r="639" spans="2:2" ht="13" x14ac:dyDescent="0.15">
      <c r="B639" s="4"/>
    </row>
    <row r="640" spans="2:2" ht="13" x14ac:dyDescent="0.15">
      <c r="B640" s="4"/>
    </row>
    <row r="641" spans="2:2" ht="13" x14ac:dyDescent="0.15">
      <c r="B641" s="4"/>
    </row>
    <row r="642" spans="2:2" ht="13" x14ac:dyDescent="0.15">
      <c r="B642" s="4"/>
    </row>
    <row r="643" spans="2:2" ht="13" x14ac:dyDescent="0.15">
      <c r="B643" s="4"/>
    </row>
    <row r="644" spans="2:2" ht="13" x14ac:dyDescent="0.15">
      <c r="B644" s="4"/>
    </row>
    <row r="645" spans="2:2" ht="13" x14ac:dyDescent="0.15">
      <c r="B645" s="4"/>
    </row>
    <row r="646" spans="2:2" ht="13" x14ac:dyDescent="0.15">
      <c r="B646" s="4"/>
    </row>
    <row r="647" spans="2:2" ht="13" x14ac:dyDescent="0.15">
      <c r="B647" s="4"/>
    </row>
    <row r="648" spans="2:2" ht="13" x14ac:dyDescent="0.15">
      <c r="B648" s="4"/>
    </row>
    <row r="649" spans="2:2" ht="13" x14ac:dyDescent="0.15">
      <c r="B649" s="4"/>
    </row>
    <row r="650" spans="2:2" ht="13" x14ac:dyDescent="0.15">
      <c r="B650" s="4"/>
    </row>
    <row r="651" spans="2:2" ht="13" x14ac:dyDescent="0.15">
      <c r="B651" s="4"/>
    </row>
    <row r="652" spans="2:2" ht="13" x14ac:dyDescent="0.15">
      <c r="B652" s="4"/>
    </row>
    <row r="653" spans="2:2" ht="13" x14ac:dyDescent="0.15">
      <c r="B653" s="4"/>
    </row>
    <row r="654" spans="2:2" ht="13" x14ac:dyDescent="0.15">
      <c r="B654" s="4"/>
    </row>
    <row r="655" spans="2:2" ht="13" x14ac:dyDescent="0.15">
      <c r="B655" s="4"/>
    </row>
    <row r="656" spans="2:2" ht="13" x14ac:dyDescent="0.15">
      <c r="B656" s="4"/>
    </row>
    <row r="657" spans="2:2" ht="13" x14ac:dyDescent="0.15">
      <c r="B657" s="4"/>
    </row>
    <row r="658" spans="2:2" ht="13" x14ac:dyDescent="0.15">
      <c r="B658" s="4"/>
    </row>
    <row r="659" spans="2:2" ht="13" x14ac:dyDescent="0.15">
      <c r="B659" s="4"/>
    </row>
    <row r="660" spans="2:2" ht="13" x14ac:dyDescent="0.15">
      <c r="B660" s="4"/>
    </row>
    <row r="661" spans="2:2" ht="13" x14ac:dyDescent="0.15">
      <c r="B661" s="4"/>
    </row>
    <row r="662" spans="2:2" ht="13" x14ac:dyDescent="0.15">
      <c r="B662" s="4"/>
    </row>
    <row r="663" spans="2:2" ht="13" x14ac:dyDescent="0.15">
      <c r="B663" s="4"/>
    </row>
    <row r="664" spans="2:2" ht="13" x14ac:dyDescent="0.15">
      <c r="B664" s="4"/>
    </row>
    <row r="665" spans="2:2" ht="13" x14ac:dyDescent="0.15">
      <c r="B665" s="4"/>
    </row>
    <row r="666" spans="2:2" ht="13" x14ac:dyDescent="0.15">
      <c r="B666" s="4"/>
    </row>
    <row r="667" spans="2:2" ht="13" x14ac:dyDescent="0.15">
      <c r="B667" s="4"/>
    </row>
    <row r="668" spans="2:2" ht="13" x14ac:dyDescent="0.15">
      <c r="B668" s="4"/>
    </row>
    <row r="669" spans="2:2" ht="13" x14ac:dyDescent="0.15">
      <c r="B669" s="4"/>
    </row>
    <row r="670" spans="2:2" ht="13" x14ac:dyDescent="0.15">
      <c r="B670" s="4"/>
    </row>
    <row r="671" spans="2:2" ht="13" x14ac:dyDescent="0.15">
      <c r="B671" s="4"/>
    </row>
    <row r="672" spans="2:2" ht="13" x14ac:dyDescent="0.15">
      <c r="B672" s="4"/>
    </row>
    <row r="673" spans="2:2" ht="13" x14ac:dyDescent="0.15">
      <c r="B673" s="4"/>
    </row>
    <row r="674" spans="2:2" ht="13" x14ac:dyDescent="0.15">
      <c r="B674" s="4"/>
    </row>
    <row r="675" spans="2:2" ht="13" x14ac:dyDescent="0.15">
      <c r="B675" s="4"/>
    </row>
    <row r="676" spans="2:2" ht="13" x14ac:dyDescent="0.15">
      <c r="B676" s="4"/>
    </row>
    <row r="677" spans="2:2" ht="13" x14ac:dyDescent="0.15">
      <c r="B677" s="4"/>
    </row>
    <row r="678" spans="2:2" ht="13" x14ac:dyDescent="0.15">
      <c r="B678" s="4"/>
    </row>
    <row r="679" spans="2:2" ht="13" x14ac:dyDescent="0.15">
      <c r="B679" s="4"/>
    </row>
    <row r="680" spans="2:2" ht="13" x14ac:dyDescent="0.15">
      <c r="B680" s="4"/>
    </row>
    <row r="681" spans="2:2" ht="13" x14ac:dyDescent="0.15">
      <c r="B681" s="4"/>
    </row>
    <row r="682" spans="2:2" ht="13" x14ac:dyDescent="0.15">
      <c r="B682" s="4"/>
    </row>
    <row r="683" spans="2:2" ht="13" x14ac:dyDescent="0.15">
      <c r="B683" s="4"/>
    </row>
    <row r="684" spans="2:2" ht="13" x14ac:dyDescent="0.15">
      <c r="B684" s="4"/>
    </row>
    <row r="685" spans="2:2" ht="13" x14ac:dyDescent="0.15">
      <c r="B685" s="4"/>
    </row>
    <row r="686" spans="2:2" ht="13" x14ac:dyDescent="0.15">
      <c r="B686" s="4"/>
    </row>
    <row r="687" spans="2:2" ht="13" x14ac:dyDescent="0.15">
      <c r="B687" s="4"/>
    </row>
    <row r="688" spans="2:2" ht="13" x14ac:dyDescent="0.15">
      <c r="B688" s="4"/>
    </row>
    <row r="689" spans="2:2" ht="13" x14ac:dyDescent="0.15">
      <c r="B689" s="4"/>
    </row>
    <row r="690" spans="2:2" ht="13" x14ac:dyDescent="0.15">
      <c r="B690" s="4"/>
    </row>
    <row r="691" spans="2:2" ht="13" x14ac:dyDescent="0.15">
      <c r="B691" s="4"/>
    </row>
    <row r="692" spans="2:2" ht="13" x14ac:dyDescent="0.15">
      <c r="B692" s="4"/>
    </row>
    <row r="693" spans="2:2" ht="13" x14ac:dyDescent="0.15">
      <c r="B693" s="4"/>
    </row>
    <row r="694" spans="2:2" ht="13" x14ac:dyDescent="0.15">
      <c r="B694" s="4"/>
    </row>
    <row r="695" spans="2:2" ht="13" x14ac:dyDescent="0.15">
      <c r="B695" s="4"/>
    </row>
    <row r="696" spans="2:2" ht="13" x14ac:dyDescent="0.15">
      <c r="B696" s="4"/>
    </row>
    <row r="697" spans="2:2" ht="13" x14ac:dyDescent="0.15">
      <c r="B697" s="4"/>
    </row>
    <row r="698" spans="2:2" ht="13" x14ac:dyDescent="0.15">
      <c r="B698" s="4"/>
    </row>
    <row r="699" spans="2:2" ht="13" x14ac:dyDescent="0.15">
      <c r="B699" s="4"/>
    </row>
    <row r="700" spans="2:2" ht="13" x14ac:dyDescent="0.15">
      <c r="B700" s="4"/>
    </row>
    <row r="701" spans="2:2" ht="13" x14ac:dyDescent="0.15">
      <c r="B701" s="4"/>
    </row>
    <row r="702" spans="2:2" ht="13" x14ac:dyDescent="0.15">
      <c r="B702" s="4"/>
    </row>
    <row r="703" spans="2:2" ht="13" x14ac:dyDescent="0.15">
      <c r="B703" s="4"/>
    </row>
    <row r="704" spans="2:2" ht="13" x14ac:dyDescent="0.15">
      <c r="B704" s="4"/>
    </row>
    <row r="705" spans="2:2" ht="13" x14ac:dyDescent="0.15">
      <c r="B705" s="4"/>
    </row>
    <row r="706" spans="2:2" ht="13" x14ac:dyDescent="0.15">
      <c r="B706" s="4"/>
    </row>
    <row r="707" spans="2:2" ht="13" x14ac:dyDescent="0.15">
      <c r="B707" s="4"/>
    </row>
    <row r="708" spans="2:2" ht="13" x14ac:dyDescent="0.15">
      <c r="B708" s="4"/>
    </row>
    <row r="709" spans="2:2" ht="13" x14ac:dyDescent="0.15">
      <c r="B709" s="4"/>
    </row>
    <row r="710" spans="2:2" ht="13" x14ac:dyDescent="0.15">
      <c r="B710" s="4"/>
    </row>
    <row r="711" spans="2:2" ht="13" x14ac:dyDescent="0.15">
      <c r="B711" s="4"/>
    </row>
    <row r="712" spans="2:2" ht="13" x14ac:dyDescent="0.15">
      <c r="B712" s="4"/>
    </row>
    <row r="713" spans="2:2" ht="13" x14ac:dyDescent="0.15">
      <c r="B713" s="4"/>
    </row>
    <row r="714" spans="2:2" ht="13" x14ac:dyDescent="0.15">
      <c r="B714" s="4"/>
    </row>
    <row r="715" spans="2:2" ht="13" x14ac:dyDescent="0.15">
      <c r="B715" s="4"/>
    </row>
    <row r="716" spans="2:2" ht="13" x14ac:dyDescent="0.15">
      <c r="B716" s="4"/>
    </row>
    <row r="717" spans="2:2" ht="13" x14ac:dyDescent="0.15">
      <c r="B717" s="4"/>
    </row>
    <row r="718" spans="2:2" ht="13" x14ac:dyDescent="0.15">
      <c r="B718" s="4"/>
    </row>
    <row r="719" spans="2:2" ht="13" x14ac:dyDescent="0.15">
      <c r="B719" s="4"/>
    </row>
    <row r="720" spans="2:2" ht="13" x14ac:dyDescent="0.15">
      <c r="B720" s="4"/>
    </row>
    <row r="721" spans="2:2" ht="13" x14ac:dyDescent="0.15">
      <c r="B721" s="4"/>
    </row>
    <row r="722" spans="2:2" ht="13" x14ac:dyDescent="0.15">
      <c r="B722" s="4"/>
    </row>
    <row r="723" spans="2:2" ht="13" x14ac:dyDescent="0.15">
      <c r="B723" s="4"/>
    </row>
    <row r="724" spans="2:2" ht="13" x14ac:dyDescent="0.15">
      <c r="B724" s="4"/>
    </row>
    <row r="725" spans="2:2" ht="13" x14ac:dyDescent="0.15">
      <c r="B725" s="4"/>
    </row>
    <row r="726" spans="2:2" ht="13" x14ac:dyDescent="0.15">
      <c r="B726" s="4"/>
    </row>
    <row r="727" spans="2:2" ht="13" x14ac:dyDescent="0.15">
      <c r="B727" s="4"/>
    </row>
    <row r="728" spans="2:2" ht="13" x14ac:dyDescent="0.15">
      <c r="B728" s="4"/>
    </row>
    <row r="729" spans="2:2" ht="13" x14ac:dyDescent="0.15">
      <c r="B729" s="4"/>
    </row>
    <row r="730" spans="2:2" ht="13" x14ac:dyDescent="0.15">
      <c r="B730" s="4"/>
    </row>
    <row r="731" spans="2:2" ht="13" x14ac:dyDescent="0.15">
      <c r="B731" s="4"/>
    </row>
    <row r="732" spans="2:2" ht="13" x14ac:dyDescent="0.15">
      <c r="B732" s="4"/>
    </row>
    <row r="733" spans="2:2" ht="13" x14ac:dyDescent="0.15">
      <c r="B733" s="4"/>
    </row>
    <row r="734" spans="2:2" ht="13" x14ac:dyDescent="0.15">
      <c r="B734" s="4"/>
    </row>
    <row r="735" spans="2:2" ht="13" x14ac:dyDescent="0.15">
      <c r="B735" s="4"/>
    </row>
    <row r="736" spans="2:2" ht="13" x14ac:dyDescent="0.15">
      <c r="B736" s="4"/>
    </row>
    <row r="737" spans="2:2" ht="13" x14ac:dyDescent="0.15">
      <c r="B737" s="4"/>
    </row>
    <row r="738" spans="2:2" ht="13" x14ac:dyDescent="0.15">
      <c r="B738" s="4"/>
    </row>
    <row r="739" spans="2:2" ht="13" x14ac:dyDescent="0.15">
      <c r="B739" s="4"/>
    </row>
    <row r="740" spans="2:2" ht="13" x14ac:dyDescent="0.15">
      <c r="B740" s="4"/>
    </row>
    <row r="741" spans="2:2" ht="13" x14ac:dyDescent="0.15">
      <c r="B741" s="4"/>
    </row>
    <row r="742" spans="2:2" ht="13" x14ac:dyDescent="0.15">
      <c r="B742" s="4"/>
    </row>
    <row r="743" spans="2:2" ht="13" x14ac:dyDescent="0.15">
      <c r="B743" s="4"/>
    </row>
    <row r="744" spans="2:2" ht="13" x14ac:dyDescent="0.15">
      <c r="B744" s="4"/>
    </row>
    <row r="745" spans="2:2" ht="13" x14ac:dyDescent="0.15">
      <c r="B745" s="4"/>
    </row>
    <row r="746" spans="2:2" ht="13" x14ac:dyDescent="0.15">
      <c r="B746" s="4"/>
    </row>
    <row r="747" spans="2:2" ht="13" x14ac:dyDescent="0.15">
      <c r="B747" s="4"/>
    </row>
    <row r="748" spans="2:2" ht="13" x14ac:dyDescent="0.15">
      <c r="B748" s="4"/>
    </row>
    <row r="749" spans="2:2" ht="13" x14ac:dyDescent="0.15">
      <c r="B749" s="4"/>
    </row>
    <row r="750" spans="2:2" ht="13" x14ac:dyDescent="0.15">
      <c r="B750" s="4"/>
    </row>
    <row r="751" spans="2:2" ht="13" x14ac:dyDescent="0.15">
      <c r="B751" s="4"/>
    </row>
    <row r="752" spans="2:2" ht="13" x14ac:dyDescent="0.15">
      <c r="B752" s="4"/>
    </row>
    <row r="753" spans="2:2" ht="13" x14ac:dyDescent="0.15">
      <c r="B753" s="4"/>
    </row>
    <row r="754" spans="2:2" ht="13" x14ac:dyDescent="0.15">
      <c r="B754" s="4"/>
    </row>
    <row r="755" spans="2:2" ht="13" x14ac:dyDescent="0.15">
      <c r="B755" s="4"/>
    </row>
    <row r="756" spans="2:2" ht="13" x14ac:dyDescent="0.15">
      <c r="B756" s="4"/>
    </row>
    <row r="757" spans="2:2" ht="13" x14ac:dyDescent="0.15">
      <c r="B757" s="4"/>
    </row>
    <row r="758" spans="2:2" ht="13" x14ac:dyDescent="0.15">
      <c r="B758" s="4"/>
    </row>
    <row r="759" spans="2:2" ht="13" x14ac:dyDescent="0.15">
      <c r="B759" s="4"/>
    </row>
    <row r="760" spans="2:2" ht="13" x14ac:dyDescent="0.15">
      <c r="B760" s="4"/>
    </row>
    <row r="761" spans="2:2" ht="13" x14ac:dyDescent="0.15">
      <c r="B761" s="4"/>
    </row>
    <row r="762" spans="2:2" ht="13" x14ac:dyDescent="0.15">
      <c r="B762" s="4"/>
    </row>
    <row r="763" spans="2:2" ht="13" x14ac:dyDescent="0.15">
      <c r="B763" s="4"/>
    </row>
    <row r="764" spans="2:2" ht="13" x14ac:dyDescent="0.15">
      <c r="B764" s="4"/>
    </row>
    <row r="765" spans="2:2" ht="13" x14ac:dyDescent="0.15">
      <c r="B765" s="4"/>
    </row>
    <row r="766" spans="2:2" ht="13" x14ac:dyDescent="0.15">
      <c r="B766" s="4"/>
    </row>
    <row r="767" spans="2:2" ht="13" x14ac:dyDescent="0.15">
      <c r="B767" s="4"/>
    </row>
    <row r="768" spans="2:2" ht="13" x14ac:dyDescent="0.15">
      <c r="B768" s="4"/>
    </row>
    <row r="769" spans="2:2" ht="13" x14ac:dyDescent="0.15">
      <c r="B769" s="4"/>
    </row>
    <row r="770" spans="2:2" ht="13" x14ac:dyDescent="0.15">
      <c r="B770" s="4"/>
    </row>
    <row r="771" spans="2:2" ht="13" x14ac:dyDescent="0.15">
      <c r="B771" s="4"/>
    </row>
    <row r="772" spans="2:2" ht="13" x14ac:dyDescent="0.15">
      <c r="B772" s="4"/>
    </row>
    <row r="773" spans="2:2" ht="13" x14ac:dyDescent="0.15">
      <c r="B773" s="4"/>
    </row>
    <row r="774" spans="2:2" ht="13" x14ac:dyDescent="0.15">
      <c r="B774" s="4"/>
    </row>
    <row r="775" spans="2:2" ht="13" x14ac:dyDescent="0.15">
      <c r="B775" s="4"/>
    </row>
    <row r="776" spans="2:2" ht="13" x14ac:dyDescent="0.15">
      <c r="B776" s="4"/>
    </row>
    <row r="777" spans="2:2" ht="13" x14ac:dyDescent="0.15">
      <c r="B777" s="4"/>
    </row>
    <row r="778" spans="2:2" ht="13" x14ac:dyDescent="0.15">
      <c r="B778" s="4"/>
    </row>
    <row r="779" spans="2:2" ht="13" x14ac:dyDescent="0.15">
      <c r="B779" s="4"/>
    </row>
    <row r="780" spans="2:2" ht="13" x14ac:dyDescent="0.15">
      <c r="B780" s="4"/>
    </row>
    <row r="781" spans="2:2" ht="13" x14ac:dyDescent="0.15">
      <c r="B781" s="4"/>
    </row>
    <row r="782" spans="2:2" ht="13" x14ac:dyDescent="0.15">
      <c r="B782" s="4"/>
    </row>
    <row r="783" spans="2:2" ht="13" x14ac:dyDescent="0.15">
      <c r="B783" s="4"/>
    </row>
    <row r="784" spans="2:2" ht="13" x14ac:dyDescent="0.15">
      <c r="B784" s="4"/>
    </row>
    <row r="785" spans="2:2" ht="13" x14ac:dyDescent="0.15">
      <c r="B785" s="4"/>
    </row>
    <row r="786" spans="2:2" ht="13" x14ac:dyDescent="0.15">
      <c r="B786" s="4"/>
    </row>
    <row r="787" spans="2:2" ht="13" x14ac:dyDescent="0.15">
      <c r="B787" s="4"/>
    </row>
    <row r="788" spans="2:2" ht="13" x14ac:dyDescent="0.15">
      <c r="B788" s="4"/>
    </row>
    <row r="789" spans="2:2" ht="13" x14ac:dyDescent="0.15">
      <c r="B789" s="4"/>
    </row>
    <row r="790" spans="2:2" ht="13" x14ac:dyDescent="0.15">
      <c r="B790" s="4"/>
    </row>
    <row r="791" spans="2:2" ht="13" x14ac:dyDescent="0.15">
      <c r="B791" s="4"/>
    </row>
    <row r="792" spans="2:2" ht="13" x14ac:dyDescent="0.15">
      <c r="B792" s="4"/>
    </row>
    <row r="793" spans="2:2" ht="13" x14ac:dyDescent="0.15">
      <c r="B793" s="4"/>
    </row>
    <row r="794" spans="2:2" ht="13" x14ac:dyDescent="0.15">
      <c r="B794" s="4"/>
    </row>
    <row r="795" spans="2:2" ht="13" x14ac:dyDescent="0.15">
      <c r="B795" s="4"/>
    </row>
    <row r="796" spans="2:2" ht="13" x14ac:dyDescent="0.15">
      <c r="B796" s="4"/>
    </row>
    <row r="797" spans="2:2" ht="13" x14ac:dyDescent="0.15">
      <c r="B797" s="4"/>
    </row>
    <row r="798" spans="2:2" ht="13" x14ac:dyDescent="0.15">
      <c r="B798" s="4"/>
    </row>
    <row r="799" spans="2:2" ht="13" x14ac:dyDescent="0.15">
      <c r="B799" s="4"/>
    </row>
    <row r="800" spans="2:2" ht="13" x14ac:dyDescent="0.15">
      <c r="B800" s="4"/>
    </row>
    <row r="801" spans="2:2" ht="13" x14ac:dyDescent="0.15">
      <c r="B801" s="4"/>
    </row>
    <row r="802" spans="2:2" ht="13" x14ac:dyDescent="0.15">
      <c r="B802" s="4"/>
    </row>
    <row r="803" spans="2:2" ht="13" x14ac:dyDescent="0.15">
      <c r="B803" s="4"/>
    </row>
    <row r="804" spans="2:2" ht="13" x14ac:dyDescent="0.15">
      <c r="B804" s="4"/>
    </row>
    <row r="805" spans="2:2" ht="13" x14ac:dyDescent="0.15">
      <c r="B805" s="4"/>
    </row>
    <row r="806" spans="2:2" ht="13" x14ac:dyDescent="0.15">
      <c r="B806" s="4"/>
    </row>
    <row r="807" spans="2:2" ht="13" x14ac:dyDescent="0.15">
      <c r="B807" s="4"/>
    </row>
    <row r="808" spans="2:2" ht="13" x14ac:dyDescent="0.15">
      <c r="B808" s="4"/>
    </row>
    <row r="809" spans="2:2" ht="13" x14ac:dyDescent="0.15">
      <c r="B809" s="4"/>
    </row>
    <row r="810" spans="2:2" ht="13" x14ac:dyDescent="0.15">
      <c r="B810" s="4"/>
    </row>
    <row r="811" spans="2:2" ht="13" x14ac:dyDescent="0.15">
      <c r="B811" s="4"/>
    </row>
    <row r="812" spans="2:2" ht="13" x14ac:dyDescent="0.15">
      <c r="B812" s="4"/>
    </row>
    <row r="813" spans="2:2" ht="13" x14ac:dyDescent="0.15">
      <c r="B813" s="4"/>
    </row>
    <row r="814" spans="2:2" ht="13" x14ac:dyDescent="0.15">
      <c r="B814" s="4"/>
    </row>
    <row r="815" spans="2:2" ht="13" x14ac:dyDescent="0.15">
      <c r="B815" s="4"/>
    </row>
    <row r="816" spans="2:2" ht="13" x14ac:dyDescent="0.15">
      <c r="B816" s="4"/>
    </row>
    <row r="817" spans="2:2" ht="13" x14ac:dyDescent="0.15">
      <c r="B817" s="4"/>
    </row>
    <row r="818" spans="2:2" ht="13" x14ac:dyDescent="0.15">
      <c r="B818" s="4"/>
    </row>
    <row r="819" spans="2:2" ht="13" x14ac:dyDescent="0.15">
      <c r="B819" s="4"/>
    </row>
    <row r="820" spans="2:2" ht="13" x14ac:dyDescent="0.15">
      <c r="B820" s="4"/>
    </row>
    <row r="821" spans="2:2" ht="13" x14ac:dyDescent="0.15">
      <c r="B821" s="4"/>
    </row>
    <row r="822" spans="2:2" ht="13" x14ac:dyDescent="0.15">
      <c r="B822" s="4"/>
    </row>
    <row r="823" spans="2:2" ht="13" x14ac:dyDescent="0.15">
      <c r="B823" s="4"/>
    </row>
    <row r="824" spans="2:2" ht="13" x14ac:dyDescent="0.15">
      <c r="B824" s="4"/>
    </row>
    <row r="825" spans="2:2" ht="13" x14ac:dyDescent="0.15">
      <c r="B825" s="4"/>
    </row>
    <row r="826" spans="2:2" ht="13" x14ac:dyDescent="0.15">
      <c r="B826" s="4"/>
    </row>
    <row r="827" spans="2:2" ht="13" x14ac:dyDescent="0.15">
      <c r="B827" s="4"/>
    </row>
    <row r="828" spans="2:2" ht="13" x14ac:dyDescent="0.15">
      <c r="B828" s="4"/>
    </row>
    <row r="829" spans="2:2" ht="13" x14ac:dyDescent="0.15">
      <c r="B829" s="4"/>
    </row>
    <row r="830" spans="2:2" ht="13" x14ac:dyDescent="0.15">
      <c r="B830" s="4"/>
    </row>
    <row r="831" spans="2:2" ht="13" x14ac:dyDescent="0.15">
      <c r="B831" s="4"/>
    </row>
    <row r="832" spans="2:2" ht="13" x14ac:dyDescent="0.15">
      <c r="B832" s="4"/>
    </row>
    <row r="833" spans="2:2" ht="13" x14ac:dyDescent="0.15">
      <c r="B833" s="4"/>
    </row>
    <row r="834" spans="2:2" ht="13" x14ac:dyDescent="0.15">
      <c r="B834" s="4"/>
    </row>
    <row r="835" spans="2:2" ht="13" x14ac:dyDescent="0.15">
      <c r="B835" s="4"/>
    </row>
    <row r="836" spans="2:2" ht="13" x14ac:dyDescent="0.15">
      <c r="B836" s="4"/>
    </row>
    <row r="837" spans="2:2" ht="13" x14ac:dyDescent="0.15">
      <c r="B837" s="4"/>
    </row>
    <row r="838" spans="2:2" ht="13" x14ac:dyDescent="0.15">
      <c r="B838" s="4"/>
    </row>
    <row r="839" spans="2:2" ht="13" x14ac:dyDescent="0.15">
      <c r="B839" s="4"/>
    </row>
    <row r="840" spans="2:2" ht="13" x14ac:dyDescent="0.15">
      <c r="B840" s="4"/>
    </row>
    <row r="841" spans="2:2" ht="13" x14ac:dyDescent="0.15">
      <c r="B841" s="4"/>
    </row>
    <row r="842" spans="2:2" ht="13" x14ac:dyDescent="0.15">
      <c r="B842" s="4"/>
    </row>
    <row r="843" spans="2:2" ht="13" x14ac:dyDescent="0.15">
      <c r="B843" s="4"/>
    </row>
    <row r="844" spans="2:2" ht="13" x14ac:dyDescent="0.15">
      <c r="B844" s="4"/>
    </row>
    <row r="845" spans="2:2" ht="13" x14ac:dyDescent="0.15">
      <c r="B845" s="4"/>
    </row>
    <row r="846" spans="2:2" ht="13" x14ac:dyDescent="0.15">
      <c r="B846" s="4"/>
    </row>
    <row r="847" spans="2:2" ht="13" x14ac:dyDescent="0.15">
      <c r="B847" s="4"/>
    </row>
    <row r="848" spans="2:2" ht="13" x14ac:dyDescent="0.15">
      <c r="B848" s="4"/>
    </row>
    <row r="849" spans="2:2" ht="13" x14ac:dyDescent="0.15">
      <c r="B849" s="4"/>
    </row>
    <row r="850" spans="2:2" ht="13" x14ac:dyDescent="0.15">
      <c r="B850" s="4"/>
    </row>
    <row r="851" spans="2:2" ht="13" x14ac:dyDescent="0.15">
      <c r="B851" s="4"/>
    </row>
    <row r="852" spans="2:2" ht="13" x14ac:dyDescent="0.15">
      <c r="B852" s="4"/>
    </row>
    <row r="853" spans="2:2" ht="13" x14ac:dyDescent="0.15">
      <c r="B853" s="4"/>
    </row>
    <row r="854" spans="2:2" ht="13" x14ac:dyDescent="0.15">
      <c r="B854" s="4"/>
    </row>
    <row r="855" spans="2:2" ht="13" x14ac:dyDescent="0.15">
      <c r="B855" s="4"/>
    </row>
    <row r="856" spans="2:2" ht="13" x14ac:dyDescent="0.15">
      <c r="B856" s="4"/>
    </row>
    <row r="857" spans="2:2" ht="13" x14ac:dyDescent="0.15">
      <c r="B857" s="4"/>
    </row>
    <row r="858" spans="2:2" ht="13" x14ac:dyDescent="0.15">
      <c r="B858" s="4"/>
    </row>
    <row r="859" spans="2:2" ht="13" x14ac:dyDescent="0.15">
      <c r="B859" s="4"/>
    </row>
    <row r="860" spans="2:2" ht="13" x14ac:dyDescent="0.15">
      <c r="B860" s="4"/>
    </row>
    <row r="861" spans="2:2" ht="13" x14ac:dyDescent="0.15">
      <c r="B861" s="4"/>
    </row>
    <row r="862" spans="2:2" ht="13" x14ac:dyDescent="0.15">
      <c r="B862" s="4"/>
    </row>
    <row r="863" spans="2:2" ht="13" x14ac:dyDescent="0.15">
      <c r="B863" s="4"/>
    </row>
    <row r="864" spans="2:2" ht="13" x14ac:dyDescent="0.15">
      <c r="B864" s="4"/>
    </row>
    <row r="865" spans="2:2" ht="13" x14ac:dyDescent="0.15">
      <c r="B865" s="4"/>
    </row>
    <row r="866" spans="2:2" ht="13" x14ac:dyDescent="0.15">
      <c r="B866" s="4"/>
    </row>
    <row r="867" spans="2:2" ht="13" x14ac:dyDescent="0.15">
      <c r="B867" s="4"/>
    </row>
    <row r="868" spans="2:2" ht="13" x14ac:dyDescent="0.15">
      <c r="B868" s="4"/>
    </row>
    <row r="869" spans="2:2" ht="13" x14ac:dyDescent="0.15">
      <c r="B869" s="4"/>
    </row>
    <row r="870" spans="2:2" ht="13" x14ac:dyDescent="0.15">
      <c r="B870" s="4"/>
    </row>
    <row r="871" spans="2:2" ht="13" x14ac:dyDescent="0.15">
      <c r="B871" s="4"/>
    </row>
    <row r="872" spans="2:2" ht="13" x14ac:dyDescent="0.15">
      <c r="B872" s="4"/>
    </row>
    <row r="873" spans="2:2" ht="13" x14ac:dyDescent="0.15">
      <c r="B873" s="4"/>
    </row>
    <row r="874" spans="2:2" ht="13" x14ac:dyDescent="0.15">
      <c r="B874" s="4"/>
    </row>
    <row r="875" spans="2:2" ht="13" x14ac:dyDescent="0.15">
      <c r="B875" s="4"/>
    </row>
    <row r="876" spans="2:2" ht="13" x14ac:dyDescent="0.15">
      <c r="B876" s="4"/>
    </row>
    <row r="877" spans="2:2" ht="13" x14ac:dyDescent="0.15">
      <c r="B877" s="4"/>
    </row>
    <row r="878" spans="2:2" ht="13" x14ac:dyDescent="0.15">
      <c r="B878" s="4"/>
    </row>
    <row r="879" spans="2:2" ht="13" x14ac:dyDescent="0.15">
      <c r="B879" s="4"/>
    </row>
    <row r="880" spans="2:2" ht="13" x14ac:dyDescent="0.15">
      <c r="B880" s="4"/>
    </row>
    <row r="881" spans="2:2" ht="13" x14ac:dyDescent="0.15">
      <c r="B881" s="4"/>
    </row>
    <row r="882" spans="2:2" ht="13" x14ac:dyDescent="0.15">
      <c r="B882" s="4"/>
    </row>
    <row r="883" spans="2:2" ht="13" x14ac:dyDescent="0.15">
      <c r="B883" s="4"/>
    </row>
    <row r="884" spans="2:2" ht="13" x14ac:dyDescent="0.15">
      <c r="B884" s="4"/>
    </row>
    <row r="885" spans="2:2" ht="13" x14ac:dyDescent="0.15">
      <c r="B885" s="4"/>
    </row>
    <row r="886" spans="2:2" ht="13" x14ac:dyDescent="0.15">
      <c r="B886" s="4"/>
    </row>
    <row r="887" spans="2:2" ht="13" x14ac:dyDescent="0.15">
      <c r="B887" s="4"/>
    </row>
    <row r="888" spans="2:2" ht="13" x14ac:dyDescent="0.15">
      <c r="B888" s="4"/>
    </row>
    <row r="889" spans="2:2" ht="13" x14ac:dyDescent="0.15">
      <c r="B889" s="4"/>
    </row>
    <row r="890" spans="2:2" ht="13" x14ac:dyDescent="0.15">
      <c r="B890" s="4"/>
    </row>
    <row r="891" spans="2:2" ht="13" x14ac:dyDescent="0.15">
      <c r="B891" s="4"/>
    </row>
    <row r="892" spans="2:2" ht="13" x14ac:dyDescent="0.15">
      <c r="B892" s="4"/>
    </row>
    <row r="893" spans="2:2" ht="13" x14ac:dyDescent="0.15">
      <c r="B893" s="4"/>
    </row>
    <row r="894" spans="2:2" ht="13" x14ac:dyDescent="0.15">
      <c r="B894" s="4"/>
    </row>
    <row r="895" spans="2:2" ht="13" x14ac:dyDescent="0.15">
      <c r="B895" s="4"/>
    </row>
    <row r="896" spans="2:2" ht="13" x14ac:dyDescent="0.15">
      <c r="B896" s="4"/>
    </row>
    <row r="897" spans="2:2" ht="13" x14ac:dyDescent="0.15">
      <c r="B897" s="4"/>
    </row>
    <row r="898" spans="2:2" ht="13" x14ac:dyDescent="0.15">
      <c r="B898" s="4"/>
    </row>
    <row r="899" spans="2:2" ht="13" x14ac:dyDescent="0.15">
      <c r="B899" s="4"/>
    </row>
    <row r="900" spans="2:2" ht="13" x14ac:dyDescent="0.15">
      <c r="B900" s="4"/>
    </row>
    <row r="901" spans="2:2" ht="13" x14ac:dyDescent="0.15">
      <c r="B901" s="4"/>
    </row>
    <row r="902" spans="2:2" ht="13" x14ac:dyDescent="0.15">
      <c r="B902" s="4"/>
    </row>
    <row r="903" spans="2:2" ht="13" x14ac:dyDescent="0.15">
      <c r="B903" s="4"/>
    </row>
    <row r="904" spans="2:2" ht="13" x14ac:dyDescent="0.15">
      <c r="B904" s="4"/>
    </row>
    <row r="905" spans="2:2" ht="13" x14ac:dyDescent="0.15">
      <c r="B905" s="4"/>
    </row>
    <row r="906" spans="2:2" ht="13" x14ac:dyDescent="0.15">
      <c r="B906" s="4"/>
    </row>
    <row r="907" spans="2:2" ht="13" x14ac:dyDescent="0.15">
      <c r="B907" s="4"/>
    </row>
    <row r="908" spans="2:2" ht="13" x14ac:dyDescent="0.15">
      <c r="B908" s="4"/>
    </row>
    <row r="909" spans="2:2" ht="13" x14ac:dyDescent="0.15">
      <c r="B909" s="4"/>
    </row>
    <row r="910" spans="2:2" ht="13" x14ac:dyDescent="0.15">
      <c r="B910" s="4"/>
    </row>
    <row r="911" spans="2:2" ht="13" x14ac:dyDescent="0.15">
      <c r="B911" s="4"/>
    </row>
    <row r="912" spans="2:2" ht="13" x14ac:dyDescent="0.15">
      <c r="B912" s="4"/>
    </row>
    <row r="913" spans="2:2" ht="13" x14ac:dyDescent="0.15">
      <c r="B913" s="4"/>
    </row>
    <row r="914" spans="2:2" ht="13" x14ac:dyDescent="0.15">
      <c r="B914" s="4"/>
    </row>
    <row r="915" spans="2:2" ht="13" x14ac:dyDescent="0.15">
      <c r="B915" s="4"/>
    </row>
    <row r="916" spans="2:2" ht="13" x14ac:dyDescent="0.15">
      <c r="B916" s="4"/>
    </row>
    <row r="917" spans="2:2" ht="13" x14ac:dyDescent="0.15">
      <c r="B917" s="4"/>
    </row>
    <row r="918" spans="2:2" ht="13" x14ac:dyDescent="0.15">
      <c r="B918" s="4"/>
    </row>
    <row r="919" spans="2:2" ht="13" x14ac:dyDescent="0.15">
      <c r="B919" s="4"/>
    </row>
    <row r="920" spans="2:2" ht="13" x14ac:dyDescent="0.15">
      <c r="B920" s="4"/>
    </row>
    <row r="921" spans="2:2" ht="13" x14ac:dyDescent="0.15">
      <c r="B921" s="4"/>
    </row>
    <row r="922" spans="2:2" ht="13" x14ac:dyDescent="0.15">
      <c r="B922" s="4"/>
    </row>
    <row r="923" spans="2:2" ht="13" x14ac:dyDescent="0.15">
      <c r="B923" s="4"/>
    </row>
    <row r="924" spans="2:2" ht="13" x14ac:dyDescent="0.15">
      <c r="B924" s="4"/>
    </row>
    <row r="925" spans="2:2" ht="13" x14ac:dyDescent="0.15">
      <c r="B925" s="4"/>
    </row>
    <row r="926" spans="2:2" ht="13" x14ac:dyDescent="0.15">
      <c r="B926" s="4"/>
    </row>
    <row r="927" spans="2:2" ht="13" x14ac:dyDescent="0.15">
      <c r="B927" s="4"/>
    </row>
    <row r="928" spans="2:2" ht="13" x14ac:dyDescent="0.15">
      <c r="B928" s="4"/>
    </row>
    <row r="929" spans="2:2" ht="13" x14ac:dyDescent="0.15">
      <c r="B929" s="4"/>
    </row>
    <row r="930" spans="2:2" ht="13" x14ac:dyDescent="0.15">
      <c r="B930" s="4"/>
    </row>
    <row r="931" spans="2:2" ht="13" x14ac:dyDescent="0.15">
      <c r="B931" s="4"/>
    </row>
    <row r="932" spans="2:2" ht="13" x14ac:dyDescent="0.15">
      <c r="B932" s="4"/>
    </row>
    <row r="933" spans="2:2" ht="13" x14ac:dyDescent="0.15">
      <c r="B933" s="4"/>
    </row>
    <row r="934" spans="2:2" ht="13" x14ac:dyDescent="0.15">
      <c r="B934" s="4"/>
    </row>
    <row r="935" spans="2:2" ht="13" x14ac:dyDescent="0.15">
      <c r="B935" s="4"/>
    </row>
    <row r="936" spans="2:2" ht="13" x14ac:dyDescent="0.15">
      <c r="B936" s="4"/>
    </row>
    <row r="937" spans="2:2" ht="13" x14ac:dyDescent="0.15">
      <c r="B937" s="4"/>
    </row>
    <row r="938" spans="2:2" ht="13" x14ac:dyDescent="0.15">
      <c r="B938" s="4"/>
    </row>
    <row r="939" spans="2:2" ht="13" x14ac:dyDescent="0.15">
      <c r="B939" s="4"/>
    </row>
    <row r="940" spans="2:2" ht="13" x14ac:dyDescent="0.15">
      <c r="B940" s="4"/>
    </row>
    <row r="941" spans="2:2" ht="13" x14ac:dyDescent="0.15">
      <c r="B941" s="4"/>
    </row>
    <row r="942" spans="2:2" ht="13" x14ac:dyDescent="0.15">
      <c r="B942" s="4"/>
    </row>
    <row r="943" spans="2:2" ht="13" x14ac:dyDescent="0.15">
      <c r="B943" s="4"/>
    </row>
    <row r="944" spans="2:2" ht="13" x14ac:dyDescent="0.15">
      <c r="B944" s="4"/>
    </row>
    <row r="945" spans="2:2" ht="13" x14ac:dyDescent="0.15">
      <c r="B945" s="4"/>
    </row>
    <row r="946" spans="2:2" ht="13" x14ac:dyDescent="0.15">
      <c r="B946" s="4"/>
    </row>
    <row r="947" spans="2:2" ht="13" x14ac:dyDescent="0.15">
      <c r="B947" s="4"/>
    </row>
    <row r="948" spans="2:2" ht="13" x14ac:dyDescent="0.15">
      <c r="B948" s="4"/>
    </row>
    <row r="949" spans="2:2" ht="13" x14ac:dyDescent="0.15">
      <c r="B949" s="4"/>
    </row>
    <row r="950" spans="2:2" ht="13" x14ac:dyDescent="0.15">
      <c r="B950" s="4"/>
    </row>
    <row r="951" spans="2:2" ht="13" x14ac:dyDescent="0.15">
      <c r="B951" s="4"/>
    </row>
    <row r="952" spans="2:2" ht="13" x14ac:dyDescent="0.15">
      <c r="B952" s="4"/>
    </row>
    <row r="953" spans="2:2" ht="13" x14ac:dyDescent="0.15">
      <c r="B953" s="4"/>
    </row>
    <row r="954" spans="2:2" ht="13" x14ac:dyDescent="0.15">
      <c r="B954" s="4"/>
    </row>
    <row r="955" spans="2:2" ht="13" x14ac:dyDescent="0.15">
      <c r="B955" s="4"/>
    </row>
    <row r="956" spans="2:2" ht="13" x14ac:dyDescent="0.15">
      <c r="B956" s="4"/>
    </row>
    <row r="957" spans="2:2" ht="13" x14ac:dyDescent="0.15">
      <c r="B957" s="4"/>
    </row>
    <row r="958" spans="2:2" ht="13" x14ac:dyDescent="0.15">
      <c r="B958" s="4"/>
    </row>
    <row r="959" spans="2:2" ht="13" x14ac:dyDescent="0.15">
      <c r="B959" s="4"/>
    </row>
    <row r="960" spans="2:2" ht="13" x14ac:dyDescent="0.15">
      <c r="B960" s="4"/>
    </row>
    <row r="961" spans="2:2" ht="13" x14ac:dyDescent="0.15">
      <c r="B961" s="4"/>
    </row>
    <row r="962" spans="2:2" ht="13" x14ac:dyDescent="0.15">
      <c r="B962" s="4"/>
    </row>
    <row r="963" spans="2:2" ht="13" x14ac:dyDescent="0.15">
      <c r="B963" s="4"/>
    </row>
    <row r="964" spans="2:2" ht="13" x14ac:dyDescent="0.15">
      <c r="B964" s="4"/>
    </row>
    <row r="965" spans="2:2" ht="13" x14ac:dyDescent="0.15">
      <c r="B965" s="4"/>
    </row>
    <row r="966" spans="2:2" ht="13" x14ac:dyDescent="0.15">
      <c r="B966" s="4"/>
    </row>
    <row r="967" spans="2:2" ht="13" x14ac:dyDescent="0.15">
      <c r="B967" s="4"/>
    </row>
    <row r="968" spans="2:2" ht="13" x14ac:dyDescent="0.15">
      <c r="B968" s="4"/>
    </row>
    <row r="969" spans="2:2" ht="13" x14ac:dyDescent="0.15">
      <c r="B969" s="4"/>
    </row>
    <row r="970" spans="2:2" ht="13" x14ac:dyDescent="0.15">
      <c r="B970" s="4"/>
    </row>
    <row r="971" spans="2:2" ht="13" x14ac:dyDescent="0.15">
      <c r="B971" s="4"/>
    </row>
    <row r="972" spans="2:2" ht="13" x14ac:dyDescent="0.15">
      <c r="B972" s="4"/>
    </row>
    <row r="973" spans="2:2" ht="13" x14ac:dyDescent="0.15">
      <c r="B973" s="4"/>
    </row>
    <row r="974" spans="2:2" ht="13" x14ac:dyDescent="0.15">
      <c r="B974" s="4"/>
    </row>
    <row r="975" spans="2:2" ht="13" x14ac:dyDescent="0.15">
      <c r="B975" s="4"/>
    </row>
    <row r="976" spans="2:2" ht="13" x14ac:dyDescent="0.15">
      <c r="B976" s="4"/>
    </row>
    <row r="977" spans="2:2" ht="13" x14ac:dyDescent="0.15">
      <c r="B977" s="4"/>
    </row>
    <row r="978" spans="2:2" ht="13" x14ac:dyDescent="0.15">
      <c r="B978" s="4"/>
    </row>
    <row r="979" spans="2:2" ht="13" x14ac:dyDescent="0.15">
      <c r="B979" s="4"/>
    </row>
    <row r="980" spans="2:2" ht="13" x14ac:dyDescent="0.15">
      <c r="B980" s="4"/>
    </row>
    <row r="981" spans="2:2" ht="13" x14ac:dyDescent="0.15">
      <c r="B981" s="4"/>
    </row>
    <row r="982" spans="2:2" ht="13" x14ac:dyDescent="0.15">
      <c r="B982" s="4"/>
    </row>
    <row r="983" spans="2:2" ht="13" x14ac:dyDescent="0.15">
      <c r="B983" s="4"/>
    </row>
    <row r="984" spans="2:2" ht="13" x14ac:dyDescent="0.15">
      <c r="B984" s="4"/>
    </row>
    <row r="985" spans="2:2" ht="13" x14ac:dyDescent="0.15">
      <c r="B985" s="4"/>
    </row>
    <row r="986" spans="2:2" ht="13" x14ac:dyDescent="0.15">
      <c r="B986" s="4"/>
    </row>
    <row r="987" spans="2:2" ht="13" x14ac:dyDescent="0.15">
      <c r="B987" s="4"/>
    </row>
    <row r="988" spans="2:2" ht="13" x14ac:dyDescent="0.15">
      <c r="B988" s="4"/>
    </row>
    <row r="989" spans="2:2" ht="13" x14ac:dyDescent="0.15">
      <c r="B989" s="4"/>
    </row>
    <row r="990" spans="2:2" ht="13" x14ac:dyDescent="0.15">
      <c r="B990" s="4"/>
    </row>
    <row r="991" spans="2:2" ht="13" x14ac:dyDescent="0.15">
      <c r="B991" s="4"/>
    </row>
    <row r="992" spans="2:2" ht="13" x14ac:dyDescent="0.15">
      <c r="B992" s="4"/>
    </row>
    <row r="993" spans="2:2" ht="13" x14ac:dyDescent="0.15">
      <c r="B993" s="4"/>
    </row>
    <row r="994" spans="2:2" ht="13" x14ac:dyDescent="0.15">
      <c r="B994" s="4"/>
    </row>
    <row r="995" spans="2:2" ht="13" x14ac:dyDescent="0.15">
      <c r="B995" s="4"/>
    </row>
    <row r="996" spans="2:2" ht="13" x14ac:dyDescent="0.15">
      <c r="B996" s="4"/>
    </row>
    <row r="997" spans="2:2" ht="13" x14ac:dyDescent="0.15">
      <c r="B997" s="4"/>
    </row>
    <row r="998" spans="2:2" ht="13" x14ac:dyDescent="0.15">
      <c r="B998" s="4"/>
    </row>
    <row r="999" spans="2:2" ht="13" x14ac:dyDescent="0.15">
      <c r="B999" s="4"/>
    </row>
    <row r="1000" spans="2:2" ht="13" x14ac:dyDescent="0.15">
      <c r="B100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973C-025B-434A-877D-1894ED0BEFCA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Sheet1</vt:lpstr>
      <vt:lpstr>Retreat Orderz</vt:lpstr>
      <vt:lpstr>Sheet3</vt:lpstr>
      <vt:lpstr>Sheet4</vt:lpstr>
      <vt:lpstr>Birthdays and anniversary </vt:lpstr>
      <vt:lpstr>Sheet6</vt:lpstr>
      <vt:lpstr>3Mar25</vt:lpstr>
      <vt:lpstr>8Mar25</vt:lpstr>
      <vt:lpstr>16Mar25</vt:lpstr>
      <vt:lpstr>23Mar25</vt:lpstr>
      <vt:lpstr>30 Mar25</vt:lpstr>
      <vt:lpstr>6 Apr 2025</vt:lpstr>
      <vt:lpstr>13 Apr 2025</vt:lpstr>
      <vt:lpstr>20 Apr 2025</vt:lpstr>
      <vt:lpstr>27 Apr 2025</vt:lpstr>
      <vt:lpstr>4 May 2025</vt:lpstr>
      <vt:lpstr>11 May 2025</vt:lpstr>
      <vt:lpstr>18 May 2025</vt:lpstr>
      <vt:lpstr>25 May 2025</vt:lpstr>
      <vt:lpstr>1 June 2025</vt:lpstr>
      <vt:lpstr>8 June 2025</vt:lpstr>
      <vt:lpstr>15 June 2025</vt:lpstr>
      <vt:lpstr>22 June 2025</vt:lpstr>
      <vt:lpstr> 29 June 2025</vt:lpstr>
      <vt:lpstr>6 July 2025</vt:lpstr>
      <vt:lpstr>13 July 2025</vt:lpstr>
      <vt:lpstr>20 July 2025</vt:lpstr>
      <vt:lpstr>29 July 2025</vt:lpstr>
      <vt:lpstr>03 August 2025</vt:lpstr>
      <vt:lpstr>10 August 2025</vt:lpstr>
      <vt:lpstr>17 August 2025</vt:lpstr>
      <vt:lpstr>Price List</vt:lpstr>
      <vt:lpstr>Debt list</vt:lpstr>
      <vt:lpstr>New Debt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kpongette inyang</cp:lastModifiedBy>
  <dcterms:modified xsi:type="dcterms:W3CDTF">2025-09-03T07:24:38Z</dcterms:modified>
</cp:coreProperties>
</file>