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4"/>
    <sheet state="hidden" name="Retreat Orderz" sheetId="2" r:id="rId5"/>
    <sheet state="hidden" name="Sheet3" sheetId="3" r:id="rId6"/>
    <sheet state="hidden" name="Sheet4" sheetId="4" r:id="rId7"/>
    <sheet state="hidden" name="Birthdays and anniversary " sheetId="5" r:id="rId8"/>
    <sheet state="hidden" name="Sheet6" sheetId="6" r:id="rId9"/>
    <sheet state="hidden" name="3Mar25" sheetId="7" r:id="rId10"/>
    <sheet state="hidden" name="8Mar25" sheetId="8" r:id="rId11"/>
    <sheet state="hidden" name="16Mar25" sheetId="9" r:id="rId12"/>
    <sheet state="hidden" name="23Mar25" sheetId="10" r:id="rId13"/>
    <sheet state="hidden" name="30 Mar25" sheetId="11" r:id="rId14"/>
    <sheet state="hidden" name="6 Apr 2025" sheetId="12" r:id="rId15"/>
    <sheet state="hidden" name="13 Apr 2025" sheetId="13" r:id="rId16"/>
    <sheet state="hidden" name="20 Apr 2025" sheetId="14" r:id="rId17"/>
    <sheet state="hidden" name="27 Apr 2025" sheetId="15" r:id="rId18"/>
    <sheet state="hidden" name="4 May 2025" sheetId="16" r:id="rId19"/>
    <sheet state="hidden" name="11 May 2025" sheetId="17" r:id="rId20"/>
    <sheet state="hidden" name="18 May 2025" sheetId="18" r:id="rId21"/>
    <sheet state="hidden" name="25 May 2025" sheetId="19" r:id="rId22"/>
    <sheet state="hidden" name="1 June 2025" sheetId="20" r:id="rId23"/>
    <sheet state="hidden" name="8 June 2025" sheetId="21" r:id="rId24"/>
    <sheet state="hidden" name="15 June 2025" sheetId="22" r:id="rId25"/>
    <sheet state="hidden" name="22 June 2025" sheetId="23" r:id="rId26"/>
    <sheet state="visible" name=" 29 June 2025" sheetId="24" r:id="rId27"/>
    <sheet state="visible" name="6 July 2025" sheetId="25" r:id="rId28"/>
    <sheet state="visible" name="13 July 2025" sheetId="26" r:id="rId29"/>
    <sheet state="visible" name="20 July 2025" sheetId="27" r:id="rId30"/>
    <sheet state="visible" name="29 July 2025" sheetId="28" r:id="rId31"/>
    <sheet state="visible" name="Price List" sheetId="29" r:id="rId32"/>
    <sheet state="visible" name="Debt list" sheetId="30" r:id="rId33"/>
  </sheets>
  <definedNames/>
  <calcPr/>
</workbook>
</file>

<file path=xl/sharedStrings.xml><?xml version="1.0" encoding="utf-8"?>
<sst xmlns="http://schemas.openxmlformats.org/spreadsheetml/2006/main" count="1024" uniqueCount="210">
  <si>
    <t>Item</t>
  </si>
  <si>
    <t xml:space="preserve">Qty </t>
  </si>
  <si>
    <t>Cost Price per Unit</t>
  </si>
  <si>
    <t>Amount</t>
  </si>
  <si>
    <t>Sell Price per Unit</t>
  </si>
  <si>
    <t>Sugar Donuts</t>
  </si>
  <si>
    <t>Sausage Roll</t>
  </si>
  <si>
    <t>Jam Donuts</t>
  </si>
  <si>
    <t>Doggers Bread</t>
  </si>
  <si>
    <t>Chicken Pie</t>
  </si>
  <si>
    <t>Meat Pie</t>
  </si>
  <si>
    <t xml:space="preserve">Zobo </t>
  </si>
  <si>
    <t>Total Profit</t>
  </si>
  <si>
    <t xml:space="preserve">Receipts </t>
  </si>
  <si>
    <t>Bank Transfer</t>
  </si>
  <si>
    <t>Cash (Anu)</t>
  </si>
  <si>
    <t>Cash(Seyifunmi)</t>
  </si>
  <si>
    <t>Total</t>
  </si>
  <si>
    <t>Change</t>
  </si>
  <si>
    <t>Not Paid</t>
  </si>
  <si>
    <t xml:space="preserve">Difference </t>
  </si>
  <si>
    <t>Min Pipe</t>
  </si>
  <si>
    <t>Amarachi</t>
  </si>
  <si>
    <t xml:space="preserve">Min. Blessing </t>
  </si>
  <si>
    <t>Min. Ife</t>
  </si>
  <si>
    <t>Pastor Mayowa</t>
  </si>
  <si>
    <t>Min Kazeem</t>
  </si>
  <si>
    <t>Anu</t>
  </si>
  <si>
    <t>Alemz</t>
  </si>
  <si>
    <t>Price per Unit</t>
  </si>
  <si>
    <t>Chips</t>
  </si>
  <si>
    <t>Cash(Min Tade)</t>
  </si>
  <si>
    <t>Min Tade</t>
  </si>
  <si>
    <t>Cash(Anu)</t>
  </si>
  <si>
    <t xml:space="preserve">Dir Gabriel </t>
  </si>
  <si>
    <t>Min. Tosin</t>
  </si>
  <si>
    <t>Chips remaining</t>
  </si>
  <si>
    <t>Min Tosin</t>
  </si>
  <si>
    <t>Olayemi</t>
  </si>
  <si>
    <t>Min Pelumi</t>
  </si>
  <si>
    <t>Seyifunmi</t>
  </si>
  <si>
    <t>Engr Ife</t>
  </si>
  <si>
    <t xml:space="preserve">Anniversaries </t>
  </si>
  <si>
    <t>Name</t>
  </si>
  <si>
    <t>Date</t>
  </si>
  <si>
    <t>The Abolarins</t>
  </si>
  <si>
    <t>The Oladunjoyes</t>
  </si>
  <si>
    <t>Birthdays</t>
  </si>
  <si>
    <t>FISRT NAME</t>
  </si>
  <si>
    <t>LAST NAME</t>
  </si>
  <si>
    <t>BIRTHDATE</t>
  </si>
  <si>
    <t>GENDER</t>
  </si>
  <si>
    <t>UNIT</t>
  </si>
  <si>
    <t xml:space="preserve"> STATUS</t>
  </si>
  <si>
    <t>Jumoke</t>
  </si>
  <si>
    <t>Adeboye</t>
  </si>
  <si>
    <t xml:space="preserve">Female </t>
  </si>
  <si>
    <t>Buzz</t>
  </si>
  <si>
    <t>DC</t>
  </si>
  <si>
    <t>Tosin</t>
  </si>
  <si>
    <t>Oyebanji</t>
  </si>
  <si>
    <t>Male</t>
  </si>
  <si>
    <t>Protocol</t>
  </si>
  <si>
    <t>LXL</t>
  </si>
  <si>
    <t>Pelumi</t>
  </si>
  <si>
    <t>Yusuf</t>
  </si>
  <si>
    <t>Female</t>
  </si>
  <si>
    <t>Tribe's Heart</t>
  </si>
  <si>
    <t>Ebube</t>
  </si>
  <si>
    <t>Opara</t>
  </si>
  <si>
    <t>The Beckoners</t>
  </si>
  <si>
    <t>Emmanuel</t>
  </si>
  <si>
    <t>Ayeni</t>
  </si>
  <si>
    <t>J94</t>
  </si>
  <si>
    <t>Hannah</t>
  </si>
  <si>
    <t>Mabayoje</t>
  </si>
  <si>
    <t>Chioma</t>
  </si>
  <si>
    <t>Kalu</t>
  </si>
  <si>
    <t>TGX</t>
  </si>
  <si>
    <t>Olamide</t>
  </si>
  <si>
    <t>Agusto</t>
  </si>
  <si>
    <t>Chi Chi</t>
  </si>
  <si>
    <t>Edidiong</t>
  </si>
  <si>
    <t>Isong</t>
  </si>
  <si>
    <t xml:space="preserve">Gabriel </t>
  </si>
  <si>
    <t>Ologbonjaiye</t>
  </si>
  <si>
    <t>Facility</t>
  </si>
  <si>
    <t>Director</t>
  </si>
  <si>
    <t>Ayomide</t>
  </si>
  <si>
    <t>Ajewole</t>
  </si>
  <si>
    <t>Regular Member</t>
  </si>
  <si>
    <t>Tobi</t>
  </si>
  <si>
    <t>Fadipe</t>
  </si>
  <si>
    <t>Olamilekan</t>
  </si>
  <si>
    <t>Odunlade</t>
  </si>
  <si>
    <t>Esther</t>
  </si>
  <si>
    <t>Oje</t>
  </si>
  <si>
    <t xml:space="preserve">WhatsApp and mobile number not reachable </t>
  </si>
  <si>
    <t>Titilopemi</t>
  </si>
  <si>
    <t xml:space="preserve">Number does not exist </t>
  </si>
  <si>
    <t>Kingsley</t>
  </si>
  <si>
    <t>Solomom</t>
  </si>
  <si>
    <t>Oyetunde</t>
  </si>
  <si>
    <t>Delight</t>
  </si>
  <si>
    <t>Salami</t>
  </si>
  <si>
    <t>Olives</t>
  </si>
  <si>
    <t>Oladipo</t>
  </si>
  <si>
    <t>2-23-25</t>
  </si>
  <si>
    <t>Elora</t>
  </si>
  <si>
    <t>Oladunjoye</t>
  </si>
  <si>
    <t>2-28-25</t>
  </si>
  <si>
    <t>Min Blessing</t>
  </si>
  <si>
    <t xml:space="preserve">Min. Abigail </t>
  </si>
  <si>
    <t>Min Gift</t>
  </si>
  <si>
    <t>Eddy</t>
  </si>
  <si>
    <t>Eniola</t>
  </si>
  <si>
    <t>GIA</t>
  </si>
  <si>
    <t>Paid</t>
  </si>
  <si>
    <t>Nonso</t>
  </si>
  <si>
    <t xml:space="preserve">Min Tosin </t>
  </si>
  <si>
    <t xml:space="preserve">Paid </t>
  </si>
  <si>
    <t xml:space="preserve">Anu </t>
  </si>
  <si>
    <t>Min. Godwin</t>
  </si>
  <si>
    <t>Christianah</t>
  </si>
  <si>
    <t>Scotch Egg</t>
  </si>
  <si>
    <t xml:space="preserve">Sent to Min Tade's account </t>
  </si>
  <si>
    <t xml:space="preserve">Seyifunmi </t>
  </si>
  <si>
    <t>Godwin</t>
  </si>
  <si>
    <t xml:space="preserve">Transfer </t>
  </si>
  <si>
    <t>Tobi sent directly</t>
  </si>
  <si>
    <t>Min Godwin</t>
  </si>
  <si>
    <t xml:space="preserve">Total receipt </t>
  </si>
  <si>
    <t xml:space="preserve">Total outstanding </t>
  </si>
  <si>
    <t>Chocolate cake</t>
  </si>
  <si>
    <t xml:space="preserve">Go forth </t>
  </si>
  <si>
    <t xml:space="preserve">Mrs Ibukun </t>
  </si>
  <si>
    <t>Gift</t>
  </si>
  <si>
    <t>Tunji</t>
  </si>
  <si>
    <t>Joey</t>
  </si>
  <si>
    <t xml:space="preserve">Afolake </t>
  </si>
  <si>
    <t>Mr Tunde</t>
  </si>
  <si>
    <t>Logistics</t>
  </si>
  <si>
    <t>GoForth</t>
  </si>
  <si>
    <t xml:space="preserve">Min Abigail </t>
  </si>
  <si>
    <t>Mrs Ibukun</t>
  </si>
  <si>
    <t>Pastor Itoro</t>
  </si>
  <si>
    <t>Folashayo</t>
  </si>
  <si>
    <t>Engr. Ife</t>
  </si>
  <si>
    <t>Pastors</t>
  </si>
  <si>
    <t>Min. Abigai</t>
  </si>
  <si>
    <t>Banana Bread</t>
  </si>
  <si>
    <t>Transfer(Anu)</t>
  </si>
  <si>
    <t xml:space="preserve">Outstanding </t>
  </si>
  <si>
    <t>Paid to Min. Tade</t>
  </si>
  <si>
    <t>Min Abigail</t>
  </si>
  <si>
    <t>Paid to Anu</t>
  </si>
  <si>
    <t>Dir Gabriel</t>
  </si>
  <si>
    <t>Sent</t>
  </si>
  <si>
    <t>Paid to Min Tade</t>
  </si>
  <si>
    <t>Ibukun(Anu)</t>
  </si>
  <si>
    <t>Chinonso</t>
  </si>
  <si>
    <t>Engr Ife(Anu)</t>
  </si>
  <si>
    <t>Min abigail(Anu)</t>
  </si>
  <si>
    <t xml:space="preserve">Folashayo </t>
  </si>
  <si>
    <t>Paid(sent)</t>
  </si>
  <si>
    <t>Ibukun</t>
  </si>
  <si>
    <t>Min Thank God</t>
  </si>
  <si>
    <t>Cash</t>
  </si>
  <si>
    <t>Transfer(Tade)</t>
  </si>
  <si>
    <t>Pastor Yinka</t>
  </si>
  <si>
    <t>Dir Eniola</t>
  </si>
  <si>
    <t xml:space="preserve">Eddy </t>
  </si>
  <si>
    <t>Afolake</t>
  </si>
  <si>
    <t>Any</t>
  </si>
  <si>
    <t>Zobo(Big)</t>
  </si>
  <si>
    <t>Zobo for P. Yinks</t>
  </si>
  <si>
    <t>Scott</t>
  </si>
  <si>
    <t>Pastor Protocol (Lady)</t>
  </si>
  <si>
    <t>Ijeoma</t>
  </si>
  <si>
    <t>Pastor's Welfare- Zobo</t>
  </si>
  <si>
    <t>Egg Roll</t>
  </si>
  <si>
    <t>Zobo for P. Yinks &amp; Aby</t>
  </si>
  <si>
    <t>Min Ebube</t>
  </si>
  <si>
    <t>Caleb</t>
  </si>
  <si>
    <t xml:space="preserve">Liability </t>
  </si>
  <si>
    <t>Ramat</t>
  </si>
  <si>
    <t>*She paid 2000 for banana bread but didn't take it</t>
  </si>
  <si>
    <t xml:space="preserve">Alemz </t>
  </si>
  <si>
    <t>Payment from last week</t>
  </si>
  <si>
    <t>Unknown</t>
  </si>
  <si>
    <t>Others</t>
  </si>
  <si>
    <t>Pastor Aby</t>
  </si>
  <si>
    <t>Min Busola</t>
  </si>
  <si>
    <t>Sayo</t>
  </si>
  <si>
    <t>Min ThankGod</t>
  </si>
  <si>
    <t>Zobo for Pastor Dami</t>
  </si>
  <si>
    <t>Dir Eni</t>
  </si>
  <si>
    <t>Dir Timi</t>
  </si>
  <si>
    <t>Min Habib</t>
  </si>
  <si>
    <t>Chike</t>
  </si>
  <si>
    <t>Zobo for Pastors</t>
  </si>
  <si>
    <t>Folakemi</t>
  </si>
  <si>
    <t>Smalll Zobo Remaining (7)</t>
  </si>
  <si>
    <t>Shayo</t>
  </si>
  <si>
    <t>*Anu mentioned that Old English didn't give us the complete snack but have agreed to include it in the next order</t>
  </si>
  <si>
    <t>1 chicken pie</t>
  </si>
  <si>
    <t xml:space="preserve">3 Jam donuts </t>
  </si>
  <si>
    <t>1 meat pie</t>
  </si>
  <si>
    <t>Engr Akin Ife</t>
  </si>
  <si>
    <t>6th Apr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</si>
</sst>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-MMM-yyyy"/>
    <numFmt numFmtId="165" formatCode="m/d"/>
    <numFmt numFmtId="166" formatCode="D/M/YYYY"/>
    <numFmt numFmtId="167" formatCode="yyyy/m"/>
    <numFmt numFmtId="168" formatCode="d mmmm"/>
    <numFmt numFmtId="169" formatCode="d mmm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i/>
      <color theme="1"/>
      <name val="Arial"/>
      <scheme val="minor"/>
    </font>
    <font>
      <color rgb="FF3C78D8"/>
      <name val="Arial"/>
      <scheme val="minor"/>
    </font>
    <font>
      <b/>
      <color rgb="FF4A86E8"/>
      <name val="Arial"/>
      <scheme val="minor"/>
    </font>
    <font>
      <i/>
      <sz val="8.0"/>
      <color theme="1"/>
      <name val="Arial"/>
      <scheme val="minor"/>
    </font>
    <font>
      <sz val="8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  <fill>
      <patternFill patternType="solid">
        <fgColor rgb="FF6AA84F"/>
        <bgColor rgb="FF6AA84F"/>
      </patternFill>
    </fill>
    <fill>
      <patternFill patternType="solid">
        <fgColor rgb="FFA4C2F4"/>
        <bgColor rgb="FFA4C2F4"/>
      </patternFill>
    </fill>
    <fill>
      <patternFill patternType="solid">
        <fgColor rgb="FFAEABAB"/>
        <bgColor rgb="FFAEABAB"/>
      </patternFill>
    </fill>
    <fill>
      <patternFill patternType="solid">
        <fgColor rgb="FFFFD965"/>
        <bgColor rgb="FFFFD965"/>
      </patternFill>
    </fill>
    <fill>
      <patternFill patternType="solid">
        <fgColor rgb="FFF7CAAC"/>
        <bgColor rgb="FFF7CAAC"/>
      </patternFill>
    </fill>
    <fill>
      <patternFill patternType="solid">
        <fgColor rgb="FF8EAADB"/>
        <bgColor rgb="FF8EAADB"/>
      </patternFill>
    </fill>
    <fill>
      <patternFill patternType="solid">
        <fgColor rgb="FFA8D08D"/>
        <bgColor rgb="FFA8D08D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4" xfId="0" applyBorder="1" applyFont="1" applyNumberFormat="1"/>
    <xf borderId="0" fillId="0" fontId="2" numFmtId="4" xfId="0" applyFont="1" applyNumberFormat="1"/>
    <xf borderId="0" fillId="3" fontId="1" numFmtId="0" xfId="0" applyAlignment="1" applyFill="1" applyFont="1">
      <alignment readingOrder="0"/>
    </xf>
    <xf borderId="0" fillId="3" fontId="1" numFmtId="4" xfId="0" applyFont="1" applyNumberFormat="1"/>
    <xf borderId="0" fillId="0" fontId="1" numFmtId="0" xfId="0" applyAlignment="1" applyFont="1">
      <alignment readingOrder="0"/>
    </xf>
    <xf borderId="1" fillId="0" fontId="2" numFmtId="4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1" fillId="4" fontId="2" numFmtId="4" xfId="0" applyBorder="1" applyFill="1" applyFont="1" applyNumberFormat="1"/>
    <xf borderId="1" fillId="4" fontId="2" numFmtId="4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4" xfId="0" applyBorder="1" applyFont="1" applyNumberFormat="1"/>
    <xf borderId="0" fillId="0" fontId="1" numFmtId="0" xfId="0" applyFont="1"/>
    <xf borderId="1" fillId="5" fontId="1" numFmtId="0" xfId="0" applyAlignment="1" applyBorder="1" applyFill="1" applyFont="1">
      <alignment readingOrder="0"/>
    </xf>
    <xf borderId="1" fillId="0" fontId="2" numFmtId="164" xfId="0" applyAlignment="1" applyBorder="1" applyFont="1" applyNumberFormat="1">
      <alignment readingOrder="0"/>
    </xf>
    <xf borderId="0" fillId="5" fontId="1" numFmtId="0" xfId="0" applyAlignment="1" applyFont="1">
      <alignment readingOrder="0"/>
    </xf>
    <xf borderId="1" fillId="6" fontId="3" numFmtId="0" xfId="0" applyAlignment="1" applyBorder="1" applyFill="1" applyFont="1">
      <alignment horizontal="center" vertical="bottom"/>
    </xf>
    <xf borderId="2" fillId="6" fontId="3" numFmtId="0" xfId="0" applyAlignment="1" applyBorder="1" applyFont="1">
      <alignment horizontal="center" vertical="bottom"/>
    </xf>
    <xf borderId="2" fillId="6" fontId="3" numFmtId="165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2" fillId="0" fontId="4" numFmtId="0" xfId="0" applyAlignment="1" applyBorder="1" applyFont="1">
      <alignment horizontal="center" readingOrder="0" vertical="bottom"/>
    </xf>
    <xf borderId="2" fillId="0" fontId="4" numFmtId="165" xfId="0" applyAlignment="1" applyBorder="1" applyFont="1" applyNumberFormat="1">
      <alignment horizontal="center" readingOrder="0" vertical="bottom"/>
    </xf>
    <xf borderId="2" fillId="7" fontId="4" numFmtId="0" xfId="0" applyAlignment="1" applyBorder="1" applyFill="1" applyFon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 vertical="bottom"/>
    </xf>
    <xf borderId="2" fillId="0" fontId="4" numFmtId="165" xfId="0" applyAlignment="1" applyBorder="1" applyFont="1" applyNumberFormat="1">
      <alignment horizontal="center" vertical="bottom"/>
    </xf>
    <xf borderId="2" fillId="7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4" fillId="0" fontId="4" numFmtId="165" xfId="0" applyAlignment="1" applyBorder="1" applyFont="1" applyNumberFormat="1">
      <alignment horizontal="center" vertical="bottom"/>
    </xf>
    <xf borderId="4" fillId="7" fontId="4" numFmtId="0" xfId="0" applyAlignment="1" applyBorder="1" applyFont="1">
      <alignment horizontal="center" vertical="bottom"/>
    </xf>
    <xf borderId="4" fillId="8" fontId="4" numFmtId="0" xfId="0" applyAlignment="1" applyBorder="1" applyFill="1" applyFont="1">
      <alignment horizontal="center" vertical="bottom"/>
    </xf>
    <xf borderId="4" fillId="9" fontId="4" numFmtId="0" xfId="0" applyAlignment="1" applyBorder="1" applyFill="1" applyFont="1">
      <alignment horizontal="center" vertical="bottom"/>
    </xf>
    <xf borderId="5" fillId="0" fontId="4" numFmtId="0" xfId="0" applyAlignment="1" applyBorder="1" applyFont="1">
      <alignment vertical="bottom"/>
    </xf>
    <xf borderId="6" fillId="0" fontId="4" numFmtId="0" xfId="0" applyAlignment="1" applyBorder="1" applyFont="1">
      <alignment vertical="bottom"/>
    </xf>
    <xf borderId="6" fillId="0" fontId="4" numFmtId="0" xfId="0" applyAlignment="1" applyBorder="1" applyFont="1">
      <alignment horizontal="right" vertical="bottom"/>
    </xf>
    <xf borderId="6" fillId="0" fontId="4" numFmtId="166" xfId="0" applyAlignment="1" applyBorder="1" applyFont="1" applyNumberFormat="1">
      <alignment horizontal="right" vertical="bottom"/>
    </xf>
    <xf borderId="7" fillId="8" fontId="4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4" fillId="0" fontId="4" numFmtId="0" xfId="0" applyAlignment="1" applyBorder="1" applyFont="1">
      <alignment horizontal="right" vertical="bottom"/>
    </xf>
    <xf borderId="4" fillId="0" fontId="4" numFmtId="166" xfId="0" applyAlignment="1" applyBorder="1" applyFont="1" applyNumberFormat="1">
      <alignment horizontal="right" vertical="bottom"/>
    </xf>
    <xf borderId="8" fillId="8" fontId="4" numFmtId="0" xfId="0" applyAlignment="1" applyBorder="1" applyFont="1">
      <alignment vertical="bottom"/>
    </xf>
    <xf borderId="4" fillId="0" fontId="4" numFmtId="1" xfId="0" applyAlignment="1" applyBorder="1" applyFont="1" applyNumberFormat="1">
      <alignment horizontal="right" vertical="bottom"/>
    </xf>
    <xf borderId="8" fillId="10" fontId="4" numFmtId="0" xfId="0" applyAlignment="1" applyBorder="1" applyFill="1" applyFont="1">
      <alignment vertical="bottom"/>
    </xf>
    <xf borderId="9" fillId="0" fontId="4" numFmtId="0" xfId="0" applyAlignment="1" applyBorder="1" applyFont="1">
      <alignment vertical="bottom"/>
    </xf>
    <xf borderId="10" fillId="0" fontId="4" numFmtId="0" xfId="0" applyAlignment="1" applyBorder="1" applyFont="1">
      <alignment vertical="bottom"/>
    </xf>
    <xf borderId="10" fillId="0" fontId="4" numFmtId="0" xfId="0" applyAlignment="1" applyBorder="1" applyFont="1">
      <alignment horizontal="right" vertical="bottom"/>
    </xf>
    <xf borderId="10" fillId="0" fontId="4" numFmtId="166" xfId="0" applyAlignment="1" applyBorder="1" applyFont="1" applyNumberFormat="1">
      <alignment horizontal="right" vertical="bottom"/>
    </xf>
    <xf borderId="11" fillId="8" fontId="4" numFmtId="0" xfId="0" applyAlignment="1" applyBorder="1" applyFont="1">
      <alignment vertical="bottom"/>
    </xf>
    <xf borderId="0" fillId="11" fontId="1" numFmtId="0" xfId="0" applyAlignment="1" applyFill="1" applyFont="1">
      <alignment readingOrder="0"/>
    </xf>
    <xf borderId="0" fillId="0" fontId="2" numFmtId="167" xfId="0" applyAlignment="1" applyFont="1" applyNumberFormat="1">
      <alignment readingOrder="0"/>
    </xf>
    <xf borderId="0" fillId="0" fontId="2" numFmtId="0" xfId="0" applyFont="1"/>
    <xf borderId="0" fillId="0" fontId="1" numFmtId="4" xfId="0" applyFont="1" applyNumberFormat="1"/>
    <xf borderId="1" fillId="12" fontId="2" numFmtId="4" xfId="0" applyAlignment="1" applyBorder="1" applyFill="1" applyFont="1" applyNumberFormat="1">
      <alignment readingOrder="0"/>
    </xf>
    <xf borderId="0" fillId="3" fontId="1" numFmtId="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1" fillId="5" fontId="2" numFmtId="4" xfId="0" applyAlignment="1" applyBorder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4" xfId="0" applyAlignment="1" applyFont="1" applyNumberFormat="1">
      <alignment readingOrder="0"/>
    </xf>
    <xf borderId="1" fillId="0" fontId="6" numFmtId="0" xfId="0" applyAlignment="1" applyBorder="1" applyFont="1">
      <alignment readingOrder="0"/>
    </xf>
    <xf borderId="0" fillId="3" fontId="7" numFmtId="4" xfId="0" applyAlignment="1" applyFont="1" applyNumberFormat="1">
      <alignment readingOrder="0"/>
    </xf>
    <xf borderId="1" fillId="0" fontId="6" numFmtId="4" xfId="0" applyAlignment="1" applyBorder="1" applyFont="1" applyNumberFormat="1">
      <alignment readingOrder="0"/>
    </xf>
    <xf borderId="1" fillId="0" fontId="6" numFmtId="0" xfId="0" applyBorder="1" applyFont="1"/>
    <xf borderId="1" fillId="0" fontId="6" numFmtId="4" xfId="0" applyBorder="1" applyFont="1" applyNumberFormat="1"/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2" numFmtId="168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0"/>
    <col customWidth="1" min="3" max="3" width="15.0"/>
    <col customWidth="1" min="4" max="4" width="10.13"/>
    <col customWidth="1" min="5" max="5" width="16.88"/>
  </cols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3</v>
      </c>
    </row>
    <row r="4">
      <c r="A4" s="2" t="s">
        <v>5</v>
      </c>
      <c r="B4" s="2">
        <v>15.0</v>
      </c>
      <c r="C4" s="2">
        <v>400.0</v>
      </c>
      <c r="D4" s="3">
        <f t="shared" ref="D4:D10" si="1">B4*C4</f>
        <v>6000</v>
      </c>
      <c r="E4" s="2">
        <v>450.0</v>
      </c>
      <c r="F4" s="3">
        <f t="shared" ref="F4:F10" si="2">B4*E4</f>
        <v>6750</v>
      </c>
    </row>
    <row r="5">
      <c r="A5" s="2" t="s">
        <v>6</v>
      </c>
      <c r="B5" s="2">
        <v>30.0</v>
      </c>
      <c r="C5" s="2">
        <v>500.0</v>
      </c>
      <c r="D5" s="3">
        <f t="shared" si="1"/>
        <v>15000</v>
      </c>
      <c r="E5" s="2">
        <v>700.0</v>
      </c>
      <c r="F5" s="3">
        <f t="shared" si="2"/>
        <v>21000</v>
      </c>
    </row>
    <row r="6">
      <c r="A6" s="2" t="s">
        <v>7</v>
      </c>
      <c r="B6" s="2">
        <v>15.0</v>
      </c>
      <c r="C6" s="2">
        <v>450.0</v>
      </c>
      <c r="D6" s="3">
        <f t="shared" si="1"/>
        <v>6750</v>
      </c>
      <c r="E6" s="2">
        <v>500.0</v>
      </c>
      <c r="F6" s="3">
        <f t="shared" si="2"/>
        <v>7500</v>
      </c>
    </row>
    <row r="7">
      <c r="A7" s="2" t="s">
        <v>8</v>
      </c>
      <c r="B7" s="2">
        <v>5.0</v>
      </c>
      <c r="C7" s="2">
        <v>1200.0</v>
      </c>
      <c r="D7" s="3">
        <f t="shared" si="1"/>
        <v>6000</v>
      </c>
      <c r="E7" s="2">
        <v>1400.0</v>
      </c>
      <c r="F7" s="3">
        <f t="shared" si="2"/>
        <v>7000</v>
      </c>
    </row>
    <row r="8">
      <c r="A8" s="2" t="s">
        <v>9</v>
      </c>
      <c r="B8" s="2">
        <v>20.0</v>
      </c>
      <c r="C8" s="2">
        <v>800.0</v>
      </c>
      <c r="D8" s="3">
        <f t="shared" si="1"/>
        <v>16000</v>
      </c>
      <c r="E8" s="2">
        <v>1000.0</v>
      </c>
      <c r="F8" s="3">
        <f t="shared" si="2"/>
        <v>20000</v>
      </c>
    </row>
    <row r="9">
      <c r="A9" s="2" t="s">
        <v>10</v>
      </c>
      <c r="B9" s="2">
        <v>20.0</v>
      </c>
      <c r="C9" s="2">
        <v>700.0</v>
      </c>
      <c r="D9" s="3">
        <f t="shared" si="1"/>
        <v>14000</v>
      </c>
      <c r="E9" s="2">
        <v>800.0</v>
      </c>
      <c r="F9" s="3">
        <f t="shared" si="2"/>
        <v>16000</v>
      </c>
    </row>
    <row r="10">
      <c r="A10" s="2" t="s">
        <v>11</v>
      </c>
      <c r="B10" s="2">
        <v>40.0</v>
      </c>
      <c r="C10" s="2">
        <v>250.0</v>
      </c>
      <c r="D10" s="3">
        <f t="shared" si="1"/>
        <v>10000</v>
      </c>
      <c r="E10" s="2">
        <v>500.0</v>
      </c>
      <c r="F10" s="3">
        <f t="shared" si="2"/>
        <v>20000</v>
      </c>
    </row>
    <row r="11">
      <c r="D11" s="4">
        <f>SUM(D4:D10)</f>
        <v>73750</v>
      </c>
      <c r="F11" s="4">
        <f>SUM(F4:F10)</f>
        <v>98250</v>
      </c>
    </row>
    <row r="12">
      <c r="E12" s="5" t="s">
        <v>12</v>
      </c>
      <c r="F12" s="6">
        <f>F11-D11</f>
        <v>24500</v>
      </c>
    </row>
    <row r="14">
      <c r="E14" s="7" t="s">
        <v>13</v>
      </c>
    </row>
    <row r="15">
      <c r="E15" s="2" t="s">
        <v>14</v>
      </c>
      <c r="F15" s="8">
        <v>53300.0</v>
      </c>
    </row>
    <row r="16">
      <c r="E16" s="2" t="s">
        <v>15</v>
      </c>
      <c r="F16" s="8">
        <v>18500.0</v>
      </c>
    </row>
    <row r="17">
      <c r="E17" s="2" t="s">
        <v>16</v>
      </c>
      <c r="F17" s="3">
        <f>2000</f>
        <v>2000</v>
      </c>
    </row>
    <row r="18">
      <c r="E18" s="2" t="str">
        <f>A21</f>
        <v>Not Paid</v>
      </c>
      <c r="F18" s="3">
        <f>SUM(C22:C29)</f>
        <v>19400</v>
      </c>
    </row>
    <row r="19">
      <c r="E19" s="2" t="s">
        <v>17</v>
      </c>
      <c r="F19" s="3">
        <f>SUM(F15:F18)</f>
        <v>93200</v>
      </c>
    </row>
    <row r="20">
      <c r="E20" s="2" t="s">
        <v>18</v>
      </c>
      <c r="F20" s="2">
        <v>50.0</v>
      </c>
    </row>
    <row r="21">
      <c r="A21" s="7" t="s">
        <v>19</v>
      </c>
      <c r="E21" s="9" t="s">
        <v>20</v>
      </c>
      <c r="F21" s="4">
        <f>F11-F19-F20</f>
        <v>5000</v>
      </c>
    </row>
    <row r="22">
      <c r="A22" s="2" t="s">
        <v>21</v>
      </c>
      <c r="B22" s="10"/>
      <c r="C22" s="11">
        <f>E4*3</f>
        <v>1350</v>
      </c>
    </row>
    <row r="23">
      <c r="A23" s="2" t="s">
        <v>22</v>
      </c>
      <c r="B23" s="10"/>
      <c r="C23" s="8">
        <v>900.0</v>
      </c>
    </row>
    <row r="24">
      <c r="A24" s="2" t="s">
        <v>23</v>
      </c>
      <c r="B24" s="10"/>
      <c r="C24" s="11">
        <f>3700</f>
        <v>3700</v>
      </c>
    </row>
    <row r="25">
      <c r="A25" s="2" t="s">
        <v>24</v>
      </c>
      <c r="B25" s="10"/>
      <c r="C25" s="12">
        <v>900.0</v>
      </c>
    </row>
    <row r="26">
      <c r="A26" s="2" t="s">
        <v>25</v>
      </c>
      <c r="B26" s="10"/>
      <c r="C26" s="12">
        <v>5500.0</v>
      </c>
    </row>
    <row r="27">
      <c r="A27" s="2" t="s">
        <v>26</v>
      </c>
      <c r="B27" s="10"/>
      <c r="C27" s="12">
        <v>2000.0</v>
      </c>
    </row>
    <row r="28">
      <c r="A28" s="2" t="s">
        <v>27</v>
      </c>
      <c r="B28" s="10"/>
      <c r="C28" s="12">
        <v>4100.0</v>
      </c>
    </row>
    <row r="29">
      <c r="A29" s="2" t="s">
        <v>28</v>
      </c>
      <c r="B29" s="10"/>
      <c r="C29" s="12">
        <v>950.0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25"/>
    <col customWidth="1" min="3" max="3" width="11.25"/>
  </cols>
  <sheetData>
    <row r="3">
      <c r="A3" s="1" t="s">
        <v>0</v>
      </c>
      <c r="B3" s="1" t="s">
        <v>1</v>
      </c>
      <c r="C3" s="1" t="s">
        <v>29</v>
      </c>
      <c r="D3" s="1" t="s">
        <v>3</v>
      </c>
    </row>
    <row r="4">
      <c r="A4" s="2" t="s">
        <v>5</v>
      </c>
      <c r="B4" s="2">
        <v>110.0</v>
      </c>
      <c r="C4" s="2">
        <v>400.0</v>
      </c>
      <c r="D4" s="3">
        <f t="shared" ref="D4:D6" si="1">B4*C4</f>
        <v>44000</v>
      </c>
    </row>
    <row r="5">
      <c r="A5" s="2" t="s">
        <v>6</v>
      </c>
      <c r="B5" s="2">
        <v>110.0</v>
      </c>
      <c r="C5" s="2">
        <v>500.0</v>
      </c>
      <c r="D5" s="3">
        <f t="shared" si="1"/>
        <v>55000</v>
      </c>
    </row>
    <row r="6">
      <c r="A6" s="2" t="s">
        <v>11</v>
      </c>
      <c r="B6" s="2">
        <v>110.0</v>
      </c>
      <c r="C6" s="2">
        <v>250.0</v>
      </c>
      <c r="D6" s="3">
        <f t="shared" si="1"/>
        <v>27500</v>
      </c>
    </row>
    <row r="7">
      <c r="A7" s="13" t="s">
        <v>17</v>
      </c>
      <c r="B7" s="14"/>
      <c r="C7" s="14"/>
      <c r="D7" s="15">
        <f>SUM(D4:D6)</f>
        <v>126500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>
      <c r="A3" s="2" t="s">
        <v>5</v>
      </c>
      <c r="B3" s="2">
        <v>15.0</v>
      </c>
      <c r="C3" s="2">
        <v>400.0</v>
      </c>
      <c r="D3" s="3">
        <f t="shared" ref="D3:D10" si="1">B3*C3</f>
        <v>6000</v>
      </c>
      <c r="E3" s="2">
        <v>450.0</v>
      </c>
      <c r="F3" s="3">
        <f t="shared" ref="F3:F10" si="2">B3*E3</f>
        <v>6750</v>
      </c>
    </row>
    <row r="4">
      <c r="A4" s="2" t="s">
        <v>6</v>
      </c>
      <c r="B4" s="2">
        <v>25.0</v>
      </c>
      <c r="C4" s="2">
        <v>500.0</v>
      </c>
      <c r="D4" s="3">
        <f t="shared" si="1"/>
        <v>12500</v>
      </c>
      <c r="E4" s="2">
        <v>700.0</v>
      </c>
      <c r="F4" s="3">
        <f t="shared" si="2"/>
        <v>17500</v>
      </c>
    </row>
    <row r="5">
      <c r="A5" s="2" t="s">
        <v>7</v>
      </c>
      <c r="B5" s="2">
        <v>15.0</v>
      </c>
      <c r="C5" s="2">
        <v>450.0</v>
      </c>
      <c r="D5" s="3">
        <f t="shared" si="1"/>
        <v>6750</v>
      </c>
      <c r="E5" s="2">
        <v>500.0</v>
      </c>
      <c r="F5" s="3">
        <f t="shared" si="2"/>
        <v>7500</v>
      </c>
    </row>
    <row r="6">
      <c r="A6" s="2" t="s">
        <v>8</v>
      </c>
      <c r="B6" s="2">
        <v>5.0</v>
      </c>
      <c r="C6" s="2">
        <v>1200.0</v>
      </c>
      <c r="D6" s="3">
        <f t="shared" si="1"/>
        <v>6000</v>
      </c>
      <c r="E6" s="2">
        <v>1400.0</v>
      </c>
      <c r="F6" s="3">
        <f t="shared" si="2"/>
        <v>7000</v>
      </c>
    </row>
    <row r="7">
      <c r="A7" s="2" t="s">
        <v>9</v>
      </c>
      <c r="B7" s="2">
        <v>20.0</v>
      </c>
      <c r="C7" s="2">
        <v>800.0</v>
      </c>
      <c r="D7" s="3">
        <f t="shared" si="1"/>
        <v>16000</v>
      </c>
      <c r="E7" s="2">
        <v>1000.0</v>
      </c>
      <c r="F7" s="3">
        <f t="shared" si="2"/>
        <v>20000</v>
      </c>
    </row>
    <row r="8">
      <c r="A8" s="2" t="s">
        <v>10</v>
      </c>
      <c r="B8" s="2">
        <v>20.0</v>
      </c>
      <c r="C8" s="2">
        <v>700.0</v>
      </c>
      <c r="D8" s="3">
        <f t="shared" si="1"/>
        <v>14000</v>
      </c>
      <c r="E8" s="2">
        <v>800.0</v>
      </c>
      <c r="F8" s="3">
        <f t="shared" si="2"/>
        <v>16000</v>
      </c>
    </row>
    <row r="9">
      <c r="A9" s="2" t="s">
        <v>30</v>
      </c>
      <c r="B9" s="2">
        <v>11.0</v>
      </c>
      <c r="C9" s="2">
        <v>179.2</v>
      </c>
      <c r="D9" s="3">
        <f t="shared" si="1"/>
        <v>1971.2</v>
      </c>
      <c r="E9" s="2">
        <v>200.0</v>
      </c>
      <c r="F9" s="3">
        <f t="shared" si="2"/>
        <v>2200</v>
      </c>
    </row>
    <row r="10">
      <c r="A10" s="2" t="s">
        <v>11</v>
      </c>
      <c r="B10" s="2">
        <f>12*3</f>
        <v>36</v>
      </c>
      <c r="C10" s="2">
        <v>250.0</v>
      </c>
      <c r="D10" s="3">
        <f t="shared" si="1"/>
        <v>9000</v>
      </c>
      <c r="E10" s="2">
        <v>500.0</v>
      </c>
      <c r="F10" s="3">
        <f t="shared" si="2"/>
        <v>18000</v>
      </c>
    </row>
    <row r="11">
      <c r="D11" s="4">
        <f>SUM(D3:D10)</f>
        <v>72221.2</v>
      </c>
      <c r="F11" s="4">
        <f>SUM(F3:F10)</f>
        <v>94950</v>
      </c>
    </row>
    <row r="12">
      <c r="E12" s="5" t="s">
        <v>12</v>
      </c>
      <c r="F12" s="6">
        <f>F11-D11</f>
        <v>22728.8</v>
      </c>
    </row>
    <row r="13">
      <c r="E13" s="7"/>
    </row>
    <row r="14">
      <c r="E14" s="7" t="s">
        <v>13</v>
      </c>
    </row>
    <row r="15">
      <c r="E15" s="2" t="s">
        <v>14</v>
      </c>
      <c r="F15" s="8">
        <f>59950+1200+2000</f>
        <v>63150</v>
      </c>
    </row>
    <row r="16">
      <c r="A16" s="7" t="s">
        <v>19</v>
      </c>
      <c r="E16" s="2" t="s">
        <v>31</v>
      </c>
      <c r="F16" s="8">
        <v>4000.0</v>
      </c>
    </row>
    <row r="17">
      <c r="A17" s="2" t="s">
        <v>32</v>
      </c>
      <c r="B17" s="10"/>
      <c r="C17" s="8">
        <v>2400.0</v>
      </c>
      <c r="E17" s="2" t="s">
        <v>33</v>
      </c>
      <c r="F17" s="3">
        <f>7200</f>
        <v>7200</v>
      </c>
    </row>
    <row r="18">
      <c r="A18" s="2" t="s">
        <v>34</v>
      </c>
      <c r="B18" s="10"/>
      <c r="C18" s="8">
        <v>4900.0</v>
      </c>
      <c r="E18" s="2" t="str">
        <f>A16</f>
        <v>Not Paid</v>
      </c>
      <c r="F18" s="3">
        <f>C22</f>
        <v>10200</v>
      </c>
    </row>
    <row r="19">
      <c r="A19" s="2" t="s">
        <v>23</v>
      </c>
      <c r="B19" s="10"/>
      <c r="C19" s="3">
        <f>1000</f>
        <v>1000</v>
      </c>
      <c r="E19" s="2" t="s">
        <v>17</v>
      </c>
      <c r="F19" s="3">
        <f>SUM(F15:F18)</f>
        <v>84550</v>
      </c>
    </row>
    <row r="20">
      <c r="A20" s="2" t="s">
        <v>35</v>
      </c>
      <c r="B20" s="10"/>
      <c r="C20" s="8">
        <v>1200.0</v>
      </c>
      <c r="E20" s="2" t="s">
        <v>30</v>
      </c>
      <c r="F20" s="8"/>
    </row>
    <row r="21">
      <c r="A21" s="2" t="s">
        <v>27</v>
      </c>
      <c r="B21" s="10"/>
      <c r="C21" s="8">
        <v>700.0</v>
      </c>
      <c r="F21" s="4">
        <f>F11-F19-F20</f>
        <v>10400</v>
      </c>
    </row>
    <row r="22">
      <c r="A22" s="2"/>
      <c r="B22" s="10"/>
      <c r="C22" s="8">
        <f>SUM(C17:C21)</f>
        <v>10200</v>
      </c>
    </row>
    <row r="23">
      <c r="E23" s="9" t="s">
        <v>36</v>
      </c>
      <c r="F23" s="9">
        <v>13.0</v>
      </c>
    </row>
    <row r="36">
      <c r="D36" s="4">
        <f>D37+D9</f>
        <v>4300.8</v>
      </c>
    </row>
    <row r="37">
      <c r="D37" s="9">
        <v>2329.6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>
      <c r="A3" s="2" t="s">
        <v>5</v>
      </c>
      <c r="B3" s="2">
        <f>15+2+1</f>
        <v>18</v>
      </c>
      <c r="C3" s="2">
        <v>400.0</v>
      </c>
      <c r="D3" s="3">
        <f t="shared" ref="D3:D10" si="1">B3*C3</f>
        <v>7200</v>
      </c>
      <c r="E3" s="2">
        <v>450.0</v>
      </c>
      <c r="F3" s="3">
        <f t="shared" ref="F3:F10" si="2">B3*E3</f>
        <v>8100</v>
      </c>
    </row>
    <row r="4">
      <c r="A4" s="2" t="s">
        <v>6</v>
      </c>
      <c r="B4" s="2">
        <v>0.0</v>
      </c>
      <c r="C4" s="2">
        <v>500.0</v>
      </c>
      <c r="D4" s="3">
        <f t="shared" si="1"/>
        <v>0</v>
      </c>
      <c r="E4" s="2">
        <v>700.0</v>
      </c>
      <c r="F4" s="3">
        <f t="shared" si="2"/>
        <v>0</v>
      </c>
    </row>
    <row r="5">
      <c r="A5" s="2" t="s">
        <v>7</v>
      </c>
      <c r="B5" s="2">
        <v>15.0</v>
      </c>
      <c r="C5" s="2">
        <v>450.0</v>
      </c>
      <c r="D5" s="3">
        <f t="shared" si="1"/>
        <v>6750</v>
      </c>
      <c r="E5" s="2">
        <v>500.0</v>
      </c>
      <c r="F5" s="3">
        <f t="shared" si="2"/>
        <v>7500</v>
      </c>
    </row>
    <row r="6">
      <c r="A6" s="2" t="s">
        <v>8</v>
      </c>
      <c r="B6" s="2">
        <f>5+5</f>
        <v>10</v>
      </c>
      <c r="C6" s="2">
        <v>1200.0</v>
      </c>
      <c r="D6" s="3">
        <f t="shared" si="1"/>
        <v>12000</v>
      </c>
      <c r="E6" s="2">
        <v>1400.0</v>
      </c>
      <c r="F6" s="3">
        <f t="shared" si="2"/>
        <v>14000</v>
      </c>
    </row>
    <row r="7">
      <c r="A7" s="2" t="s">
        <v>9</v>
      </c>
      <c r="B7" s="2">
        <f>20+10</f>
        <v>30</v>
      </c>
      <c r="C7" s="2">
        <v>800.0</v>
      </c>
      <c r="D7" s="3">
        <f t="shared" si="1"/>
        <v>24000</v>
      </c>
      <c r="E7" s="2">
        <v>1000.0</v>
      </c>
      <c r="F7" s="3">
        <f t="shared" si="2"/>
        <v>30000</v>
      </c>
    </row>
    <row r="8">
      <c r="A8" s="2" t="s">
        <v>10</v>
      </c>
      <c r="B8" s="2">
        <v>20.0</v>
      </c>
      <c r="C8" s="2">
        <v>700.0</v>
      </c>
      <c r="D8" s="3">
        <f t="shared" si="1"/>
        <v>14000</v>
      </c>
      <c r="E8" s="2">
        <v>800.0</v>
      </c>
      <c r="F8" s="3">
        <f t="shared" si="2"/>
        <v>16000</v>
      </c>
    </row>
    <row r="9">
      <c r="A9" s="2" t="s">
        <v>30</v>
      </c>
      <c r="B9" s="2">
        <v>13.0</v>
      </c>
      <c r="C9" s="2">
        <v>179.2</v>
      </c>
      <c r="D9" s="3">
        <f t="shared" si="1"/>
        <v>2329.6</v>
      </c>
      <c r="E9" s="2">
        <v>200.0</v>
      </c>
      <c r="F9" s="3">
        <f t="shared" si="2"/>
        <v>2600</v>
      </c>
    </row>
    <row r="10">
      <c r="A10" s="2" t="s">
        <v>11</v>
      </c>
      <c r="B10" s="2">
        <v>36.0</v>
      </c>
      <c r="C10" s="2">
        <v>300.0</v>
      </c>
      <c r="D10" s="3">
        <f t="shared" si="1"/>
        <v>10800</v>
      </c>
      <c r="E10" s="2">
        <v>500.0</v>
      </c>
      <c r="F10" s="3">
        <f t="shared" si="2"/>
        <v>18000</v>
      </c>
    </row>
    <row r="11">
      <c r="D11" s="4">
        <f>SUM(D3:D10)</f>
        <v>77079.6</v>
      </c>
      <c r="F11" s="4">
        <f>SUM(F3:F10)</f>
        <v>96200</v>
      </c>
    </row>
    <row r="12">
      <c r="E12" s="5" t="s">
        <v>12</v>
      </c>
      <c r="F12" s="6">
        <f>F11-D11</f>
        <v>19120.4</v>
      </c>
    </row>
    <row r="13">
      <c r="E13" s="7"/>
    </row>
    <row r="14">
      <c r="E14" s="7" t="s">
        <v>13</v>
      </c>
    </row>
    <row r="15">
      <c r="E15" s="2" t="s">
        <v>14</v>
      </c>
      <c r="F15" s="8">
        <f>66650</f>
        <v>66650</v>
      </c>
    </row>
    <row r="16">
      <c r="A16" s="7" t="s">
        <v>19</v>
      </c>
      <c r="E16" s="2" t="s">
        <v>16</v>
      </c>
      <c r="F16" s="8">
        <v>8200.0</v>
      </c>
    </row>
    <row r="17">
      <c r="A17" s="2" t="s">
        <v>37</v>
      </c>
      <c r="B17" s="10"/>
      <c r="C17" s="8">
        <f>1800+500</f>
        <v>2300</v>
      </c>
      <c r="E17" s="2"/>
      <c r="F17" s="3"/>
    </row>
    <row r="18">
      <c r="A18" s="2" t="s">
        <v>28</v>
      </c>
      <c r="B18" s="10"/>
      <c r="C18" s="8">
        <v>2450.0</v>
      </c>
      <c r="E18" s="2" t="str">
        <f>A16</f>
        <v>Not Paid</v>
      </c>
      <c r="F18" s="3">
        <f>C25</f>
        <v>22350</v>
      </c>
    </row>
    <row r="19">
      <c r="A19" s="2" t="s">
        <v>38</v>
      </c>
      <c r="B19" s="10"/>
      <c r="C19" s="3">
        <f>900</f>
        <v>900</v>
      </c>
      <c r="E19" s="2" t="s">
        <v>17</v>
      </c>
      <c r="F19" s="3">
        <f>SUM(F15:F18)</f>
        <v>97200</v>
      </c>
    </row>
    <row r="20">
      <c r="A20" s="2" t="s">
        <v>27</v>
      </c>
      <c r="B20" s="10"/>
      <c r="C20" s="8">
        <v>1000.0</v>
      </c>
      <c r="E20" s="2"/>
      <c r="F20" s="8"/>
    </row>
    <row r="21">
      <c r="A21" s="2" t="s">
        <v>39</v>
      </c>
      <c r="B21" s="10"/>
      <c r="C21" s="8">
        <f>(8*500)+(6*450)+1400</f>
        <v>8100</v>
      </c>
      <c r="F21" s="4">
        <f>F11-F19-F20</f>
        <v>-1000</v>
      </c>
    </row>
    <row r="22">
      <c r="A22" s="2" t="s">
        <v>34</v>
      </c>
      <c r="B22" s="10"/>
      <c r="C22" s="8">
        <f>(500*2)+1000+(3*500)</f>
        <v>3500</v>
      </c>
    </row>
    <row r="23">
      <c r="A23" s="2" t="s">
        <v>40</v>
      </c>
      <c r="B23" s="10"/>
      <c r="C23" s="8">
        <f>500+400</f>
        <v>900</v>
      </c>
    </row>
    <row r="24">
      <c r="A24" s="2" t="s">
        <v>41</v>
      </c>
      <c r="B24" s="10"/>
      <c r="C24" s="8">
        <v>3200.0</v>
      </c>
    </row>
    <row r="25">
      <c r="A25" s="2"/>
      <c r="B25" s="10"/>
      <c r="C25" s="8">
        <f>SUM(C17:C24)</f>
        <v>22350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6" max="6" width="14.5"/>
  </cols>
  <sheetData>
    <row r="2">
      <c r="A2" s="17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18">
        <v>45695.0</v>
      </c>
    </row>
    <row r="5">
      <c r="A5" s="2" t="s">
        <v>46</v>
      </c>
      <c r="B5" s="18">
        <v>45700.0</v>
      </c>
    </row>
    <row r="8">
      <c r="A8" s="19" t="s">
        <v>47</v>
      </c>
    </row>
    <row r="9">
      <c r="A9" s="20" t="s">
        <v>48</v>
      </c>
      <c r="B9" s="21" t="s">
        <v>49</v>
      </c>
      <c r="C9" s="22" t="s">
        <v>50</v>
      </c>
      <c r="D9" s="21" t="s">
        <v>51</v>
      </c>
      <c r="E9" s="21" t="s">
        <v>52</v>
      </c>
      <c r="F9" s="21" t="s">
        <v>53</v>
      </c>
    </row>
    <row r="10">
      <c r="A10" s="23" t="s">
        <v>54</v>
      </c>
      <c r="B10" s="24" t="s">
        <v>55</v>
      </c>
      <c r="C10" s="25">
        <v>45693.0</v>
      </c>
      <c r="D10" s="24" t="s">
        <v>56</v>
      </c>
      <c r="E10" s="24" t="s">
        <v>57</v>
      </c>
      <c r="F10" s="26" t="s">
        <v>58</v>
      </c>
    </row>
    <row r="11">
      <c r="A11" s="27" t="s">
        <v>59</v>
      </c>
      <c r="B11" s="28" t="s">
        <v>60</v>
      </c>
      <c r="C11" s="29">
        <v>45329.0</v>
      </c>
      <c r="D11" s="28" t="s">
        <v>61</v>
      </c>
      <c r="E11" s="28" t="s">
        <v>62</v>
      </c>
      <c r="F11" s="30" t="s">
        <v>63</v>
      </c>
    </row>
    <row r="12">
      <c r="A12" s="31" t="s">
        <v>64</v>
      </c>
      <c r="B12" s="32" t="s">
        <v>65</v>
      </c>
      <c r="C12" s="33">
        <v>45334.0</v>
      </c>
      <c r="D12" s="32" t="s">
        <v>66</v>
      </c>
      <c r="E12" s="32" t="s">
        <v>67</v>
      </c>
      <c r="F12" s="34" t="s">
        <v>63</v>
      </c>
    </row>
    <row r="13">
      <c r="A13" s="31" t="s">
        <v>68</v>
      </c>
      <c r="B13" s="32" t="s">
        <v>69</v>
      </c>
      <c r="C13" s="33">
        <v>45342.0</v>
      </c>
      <c r="D13" s="32" t="s">
        <v>61</v>
      </c>
      <c r="E13" s="32" t="s">
        <v>70</v>
      </c>
      <c r="F13" s="34" t="s">
        <v>63</v>
      </c>
    </row>
    <row r="14">
      <c r="A14" s="31" t="s">
        <v>71</v>
      </c>
      <c r="B14" s="32" t="s">
        <v>72</v>
      </c>
      <c r="C14" s="33">
        <v>45343.0</v>
      </c>
      <c r="D14" s="32" t="s">
        <v>61</v>
      </c>
      <c r="E14" s="32" t="s">
        <v>73</v>
      </c>
      <c r="F14" s="34" t="s">
        <v>63</v>
      </c>
    </row>
    <row r="15">
      <c r="A15" s="31" t="s">
        <v>74</v>
      </c>
      <c r="B15" s="32" t="s">
        <v>75</v>
      </c>
      <c r="C15" s="33">
        <v>45332.0</v>
      </c>
      <c r="D15" s="32" t="s">
        <v>66</v>
      </c>
      <c r="E15" s="32" t="s">
        <v>70</v>
      </c>
      <c r="F15" s="35" t="s">
        <v>58</v>
      </c>
    </row>
    <row r="16">
      <c r="A16" s="31" t="s">
        <v>76</v>
      </c>
      <c r="B16" s="32" t="s">
        <v>77</v>
      </c>
      <c r="C16" s="33">
        <v>45332.0</v>
      </c>
      <c r="D16" s="32" t="s">
        <v>66</v>
      </c>
      <c r="E16" s="32" t="s">
        <v>78</v>
      </c>
      <c r="F16" s="35" t="s">
        <v>58</v>
      </c>
    </row>
    <row r="17">
      <c r="A17" s="31" t="s">
        <v>79</v>
      </c>
      <c r="B17" s="32" t="s">
        <v>80</v>
      </c>
      <c r="C17" s="33">
        <v>45338.0</v>
      </c>
      <c r="D17" s="32" t="s">
        <v>66</v>
      </c>
      <c r="E17" s="32" t="s">
        <v>81</v>
      </c>
      <c r="F17" s="35" t="s">
        <v>58</v>
      </c>
    </row>
    <row r="18">
      <c r="A18" s="31" t="s">
        <v>82</v>
      </c>
      <c r="B18" s="32" t="s">
        <v>83</v>
      </c>
      <c r="C18" s="33">
        <v>45341.0</v>
      </c>
      <c r="D18" s="32" t="s">
        <v>61</v>
      </c>
      <c r="E18" s="32" t="s">
        <v>78</v>
      </c>
      <c r="F18" s="35" t="s">
        <v>58</v>
      </c>
    </row>
    <row r="19">
      <c r="A19" s="31" t="s">
        <v>84</v>
      </c>
      <c r="B19" s="32" t="s">
        <v>85</v>
      </c>
      <c r="C19" s="33">
        <v>45333.0</v>
      </c>
      <c r="D19" s="32" t="s">
        <v>61</v>
      </c>
      <c r="E19" s="32" t="s">
        <v>86</v>
      </c>
      <c r="F19" s="36" t="s">
        <v>87</v>
      </c>
    </row>
    <row r="21">
      <c r="A21" s="37" t="s">
        <v>88</v>
      </c>
      <c r="B21" s="38" t="s">
        <v>89</v>
      </c>
      <c r="C21" s="39">
        <v>8.169588987E9</v>
      </c>
      <c r="D21" s="40">
        <v>45323.0</v>
      </c>
      <c r="E21" s="38" t="s">
        <v>61</v>
      </c>
      <c r="F21" s="41" t="s">
        <v>90</v>
      </c>
    </row>
    <row r="22">
      <c r="A22" s="42" t="s">
        <v>91</v>
      </c>
      <c r="B22" s="43" t="s">
        <v>92</v>
      </c>
      <c r="C22" s="44">
        <v>8.030791599E9</v>
      </c>
      <c r="D22" s="45">
        <v>45332.0</v>
      </c>
      <c r="E22" s="43" t="s">
        <v>61</v>
      </c>
      <c r="F22" s="46" t="s">
        <v>90</v>
      </c>
    </row>
    <row r="23">
      <c r="A23" s="42" t="s">
        <v>93</v>
      </c>
      <c r="B23" s="43" t="s">
        <v>94</v>
      </c>
      <c r="C23" s="47">
        <v>9.060934773E9</v>
      </c>
      <c r="D23" s="45">
        <v>45337.0</v>
      </c>
      <c r="E23" s="43" t="s">
        <v>61</v>
      </c>
      <c r="F23" s="46" t="s">
        <v>90</v>
      </c>
    </row>
    <row r="24">
      <c r="A24" s="42" t="s">
        <v>95</v>
      </c>
      <c r="B24" s="43" t="s">
        <v>96</v>
      </c>
      <c r="C24" s="44">
        <v>8.174548893E9</v>
      </c>
      <c r="D24" s="45">
        <v>45337.0</v>
      </c>
      <c r="E24" s="43" t="s">
        <v>66</v>
      </c>
      <c r="F24" s="46" t="s">
        <v>90</v>
      </c>
      <c r="G24" s="9" t="s">
        <v>97</v>
      </c>
    </row>
    <row r="25">
      <c r="A25" s="42" t="s">
        <v>98</v>
      </c>
      <c r="B25" s="43" t="s">
        <v>60</v>
      </c>
      <c r="C25" s="44">
        <v>9.04538597E9</v>
      </c>
      <c r="D25" s="45">
        <v>45337.0</v>
      </c>
      <c r="E25" s="43" t="s">
        <v>66</v>
      </c>
      <c r="F25" s="46" t="s">
        <v>90</v>
      </c>
      <c r="G25" s="9" t="s">
        <v>99</v>
      </c>
    </row>
    <row r="26">
      <c r="A26" s="42" t="s">
        <v>100</v>
      </c>
      <c r="B26" s="43" t="s">
        <v>101</v>
      </c>
      <c r="C26" s="47">
        <v>9.018574183E9</v>
      </c>
      <c r="D26" s="45">
        <v>45339.0</v>
      </c>
      <c r="E26" s="43" t="s">
        <v>61</v>
      </c>
      <c r="F26" s="46" t="s">
        <v>90</v>
      </c>
    </row>
    <row r="27">
      <c r="A27" s="42" t="s">
        <v>84</v>
      </c>
      <c r="B27" s="43" t="s">
        <v>102</v>
      </c>
      <c r="C27" s="47">
        <v>8.132586075E9</v>
      </c>
      <c r="D27" s="45">
        <v>45340.0</v>
      </c>
      <c r="E27" s="43" t="s">
        <v>61</v>
      </c>
      <c r="F27" s="48" t="s">
        <v>58</v>
      </c>
    </row>
    <row r="28">
      <c r="A28" s="49" t="s">
        <v>103</v>
      </c>
      <c r="B28" s="50" t="s">
        <v>104</v>
      </c>
      <c r="C28" s="51">
        <v>8.156002345E9</v>
      </c>
      <c r="D28" s="52">
        <v>45350.0</v>
      </c>
      <c r="E28" s="50" t="s">
        <v>66</v>
      </c>
      <c r="F28" s="53" t="s">
        <v>90</v>
      </c>
    </row>
    <row r="31">
      <c r="A31" s="54" t="s">
        <v>105</v>
      </c>
    </row>
    <row r="32">
      <c r="A32" s="9" t="s">
        <v>84</v>
      </c>
      <c r="B32" s="9" t="s">
        <v>106</v>
      </c>
      <c r="C32" s="9" t="s">
        <v>107</v>
      </c>
    </row>
    <row r="33">
      <c r="A33" s="9" t="s">
        <v>108</v>
      </c>
      <c r="B33" s="9" t="s">
        <v>109</v>
      </c>
      <c r="C33" s="9" t="s">
        <v>110</v>
      </c>
    </row>
    <row r="40">
      <c r="C40" s="4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>
      <c r="A3" s="2" t="s">
        <v>5</v>
      </c>
      <c r="B3" s="2">
        <f>15</f>
        <v>15</v>
      </c>
      <c r="C3" s="2">
        <v>400.0</v>
      </c>
      <c r="D3" s="3">
        <f t="shared" ref="D3:D10" si="1">B3*C3</f>
        <v>6000</v>
      </c>
      <c r="E3" s="2">
        <v>450.0</v>
      </c>
      <c r="F3" s="3">
        <f t="shared" ref="F3:F10" si="2">B3*E3</f>
        <v>6750</v>
      </c>
    </row>
    <row r="4">
      <c r="A4" s="2" t="s">
        <v>6</v>
      </c>
      <c r="B4" s="2">
        <v>30.0</v>
      </c>
      <c r="C4" s="2">
        <v>500.0</v>
      </c>
      <c r="D4" s="3">
        <f t="shared" si="1"/>
        <v>15000</v>
      </c>
      <c r="E4" s="2">
        <v>700.0</v>
      </c>
      <c r="F4" s="3">
        <f t="shared" si="2"/>
        <v>21000</v>
      </c>
    </row>
    <row r="5">
      <c r="A5" s="2" t="s">
        <v>7</v>
      </c>
      <c r="B5" s="2">
        <v>15.0</v>
      </c>
      <c r="C5" s="2">
        <v>450.0</v>
      </c>
      <c r="D5" s="3">
        <f t="shared" si="1"/>
        <v>6750</v>
      </c>
      <c r="E5" s="2">
        <v>500.0</v>
      </c>
      <c r="F5" s="3">
        <f t="shared" si="2"/>
        <v>7500</v>
      </c>
    </row>
    <row r="6">
      <c r="A6" s="2" t="s">
        <v>8</v>
      </c>
      <c r="B6" s="2">
        <f>5</f>
        <v>5</v>
      </c>
      <c r="C6" s="2">
        <v>1200.0</v>
      </c>
      <c r="D6" s="3">
        <f t="shared" si="1"/>
        <v>6000</v>
      </c>
      <c r="E6" s="2">
        <v>1400.0</v>
      </c>
      <c r="F6" s="3">
        <f t="shared" si="2"/>
        <v>7000</v>
      </c>
    </row>
    <row r="7">
      <c r="A7" s="2" t="s">
        <v>9</v>
      </c>
      <c r="B7" s="2">
        <f>20</f>
        <v>20</v>
      </c>
      <c r="C7" s="2">
        <v>800.0</v>
      </c>
      <c r="D7" s="3">
        <f t="shared" si="1"/>
        <v>16000</v>
      </c>
      <c r="E7" s="2">
        <v>1000.0</v>
      </c>
      <c r="F7" s="3">
        <f t="shared" si="2"/>
        <v>20000</v>
      </c>
    </row>
    <row r="8">
      <c r="A8" s="2" t="s">
        <v>10</v>
      </c>
      <c r="B8" s="2">
        <v>20.0</v>
      </c>
      <c r="C8" s="2">
        <v>700.0</v>
      </c>
      <c r="D8" s="3">
        <f t="shared" si="1"/>
        <v>14000</v>
      </c>
      <c r="E8" s="2">
        <v>800.0</v>
      </c>
      <c r="F8" s="3">
        <f t="shared" si="2"/>
        <v>16000</v>
      </c>
    </row>
    <row r="9">
      <c r="A9" s="2" t="s">
        <v>30</v>
      </c>
      <c r="B9" s="2">
        <v>14.0</v>
      </c>
      <c r="C9" s="2">
        <v>179.2</v>
      </c>
      <c r="D9" s="3">
        <f t="shared" si="1"/>
        <v>2508.8</v>
      </c>
      <c r="E9" s="2">
        <v>200.0</v>
      </c>
      <c r="F9" s="3">
        <f t="shared" si="2"/>
        <v>2800</v>
      </c>
    </row>
    <row r="10">
      <c r="A10" s="2" t="s">
        <v>11</v>
      </c>
      <c r="B10" s="2">
        <v>36.0</v>
      </c>
      <c r="C10" s="2">
        <v>300.0</v>
      </c>
      <c r="D10" s="3">
        <f t="shared" si="1"/>
        <v>10800</v>
      </c>
      <c r="E10" s="2">
        <v>500.0</v>
      </c>
      <c r="F10" s="3">
        <f t="shared" si="2"/>
        <v>18000</v>
      </c>
    </row>
    <row r="11">
      <c r="D11" s="4">
        <f>SUM(D3:D10)</f>
        <v>77058.8</v>
      </c>
      <c r="F11" s="4">
        <f>SUM(F3:F10)</f>
        <v>99050</v>
      </c>
    </row>
    <row r="12">
      <c r="E12" s="5" t="s">
        <v>12</v>
      </c>
      <c r="F12" s="6">
        <f>F11-D11</f>
        <v>21991.2</v>
      </c>
    </row>
    <row r="13">
      <c r="E13" s="7"/>
    </row>
    <row r="14">
      <c r="E14" s="7" t="s">
        <v>13</v>
      </c>
    </row>
    <row r="15">
      <c r="E15" s="2" t="s">
        <v>14</v>
      </c>
      <c r="F15" s="8">
        <f>77500</f>
        <v>77500</v>
      </c>
    </row>
    <row r="16">
      <c r="A16" s="7" t="s">
        <v>19</v>
      </c>
      <c r="E16" s="2" t="s">
        <v>16</v>
      </c>
      <c r="F16" s="8">
        <f>2600-200</f>
        <v>2400</v>
      </c>
    </row>
    <row r="17">
      <c r="A17" s="2" t="s">
        <v>37</v>
      </c>
      <c r="B17" s="10"/>
      <c r="C17" s="8">
        <f>1700</f>
        <v>1700</v>
      </c>
      <c r="E17" s="2"/>
      <c r="F17" s="3"/>
    </row>
    <row r="18">
      <c r="A18" s="2" t="s">
        <v>41</v>
      </c>
      <c r="B18" s="10"/>
      <c r="C18" s="8">
        <f>(450*3)+500</f>
        <v>1850</v>
      </c>
      <c r="E18" s="2" t="str">
        <f>A16</f>
        <v>Not Paid</v>
      </c>
      <c r="F18" s="3">
        <f>C26</f>
        <v>18700</v>
      </c>
    </row>
    <row r="19">
      <c r="A19" s="2" t="s">
        <v>55</v>
      </c>
      <c r="B19" s="10"/>
      <c r="C19" s="8">
        <v>4800.0</v>
      </c>
      <c r="E19" s="2" t="s">
        <v>17</v>
      </c>
      <c r="F19" s="3">
        <f>SUM(F15:F18)</f>
        <v>98600</v>
      </c>
    </row>
    <row r="20">
      <c r="A20" s="2" t="s">
        <v>111</v>
      </c>
      <c r="B20" s="10"/>
      <c r="C20" s="8">
        <f>(450*5)+1000</f>
        <v>3250</v>
      </c>
      <c r="E20" s="2"/>
      <c r="F20" s="8"/>
    </row>
    <row r="21">
      <c r="A21" s="2" t="s">
        <v>40</v>
      </c>
      <c r="B21" s="10"/>
      <c r="C21" s="8">
        <v>1000.0</v>
      </c>
      <c r="F21" s="4">
        <f>F11-F19-F20</f>
        <v>450</v>
      </c>
    </row>
    <row r="22">
      <c r="A22" s="2" t="s">
        <v>112</v>
      </c>
      <c r="B22" s="10"/>
      <c r="C22" s="8">
        <v>500.0</v>
      </c>
    </row>
    <row r="23">
      <c r="A23" s="2" t="s">
        <v>113</v>
      </c>
      <c r="B23" s="10"/>
      <c r="C23" s="8">
        <v>3500.0</v>
      </c>
    </row>
    <row r="24">
      <c r="A24" s="2" t="s">
        <v>114</v>
      </c>
      <c r="B24" s="10"/>
      <c r="C24" s="8">
        <v>700.0</v>
      </c>
    </row>
    <row r="25">
      <c r="A25" s="2" t="s">
        <v>32</v>
      </c>
      <c r="B25" s="10"/>
      <c r="C25" s="8">
        <v>1400.0</v>
      </c>
    </row>
    <row r="26">
      <c r="A26" s="2"/>
      <c r="B26" s="10"/>
      <c r="C26" s="8">
        <f>SUM(C17:C25)</f>
        <v>18700</v>
      </c>
    </row>
    <row r="37">
      <c r="C37" s="5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>
      <c r="A3" s="2" t="s">
        <v>5</v>
      </c>
      <c r="B3" s="2">
        <v>20.0</v>
      </c>
      <c r="C3" s="2">
        <v>400.0</v>
      </c>
      <c r="D3" s="3">
        <f t="shared" ref="D3:D10" si="1">B3*C3</f>
        <v>8000</v>
      </c>
      <c r="E3" s="2">
        <v>450.0</v>
      </c>
      <c r="F3" s="3">
        <f t="shared" ref="F3:F10" si="2">B3*E3</f>
        <v>9000</v>
      </c>
    </row>
    <row r="4">
      <c r="A4" s="2" t="s">
        <v>6</v>
      </c>
      <c r="B4" s="2">
        <v>25.0</v>
      </c>
      <c r="C4" s="2">
        <v>500.0</v>
      </c>
      <c r="D4" s="3">
        <f t="shared" si="1"/>
        <v>12500</v>
      </c>
      <c r="E4" s="2">
        <v>700.0</v>
      </c>
      <c r="F4" s="3">
        <f t="shared" si="2"/>
        <v>17500</v>
      </c>
    </row>
    <row r="5">
      <c r="A5" s="2" t="s">
        <v>7</v>
      </c>
      <c r="B5" s="2">
        <v>35.0</v>
      </c>
      <c r="C5" s="2">
        <v>450.0</v>
      </c>
      <c r="D5" s="3">
        <f t="shared" si="1"/>
        <v>15750</v>
      </c>
      <c r="E5" s="2">
        <v>500.0</v>
      </c>
      <c r="F5" s="3">
        <f t="shared" si="2"/>
        <v>17500</v>
      </c>
    </row>
    <row r="6">
      <c r="A6" s="2" t="s">
        <v>8</v>
      </c>
      <c r="B6" s="2">
        <v>0.0</v>
      </c>
      <c r="C6" s="2">
        <v>1200.0</v>
      </c>
      <c r="D6" s="3">
        <f t="shared" si="1"/>
        <v>0</v>
      </c>
      <c r="E6" s="2">
        <v>1400.0</v>
      </c>
      <c r="F6" s="3">
        <f t="shared" si="2"/>
        <v>0</v>
      </c>
    </row>
    <row r="7">
      <c r="A7" s="2" t="s">
        <v>9</v>
      </c>
      <c r="B7" s="2">
        <v>25.0</v>
      </c>
      <c r="C7" s="2">
        <v>800.0</v>
      </c>
      <c r="D7" s="3">
        <f t="shared" si="1"/>
        <v>20000</v>
      </c>
      <c r="E7" s="2">
        <v>1000.0</v>
      </c>
      <c r="F7" s="3">
        <f t="shared" si="2"/>
        <v>25000</v>
      </c>
    </row>
    <row r="8">
      <c r="A8" s="2" t="s">
        <v>10</v>
      </c>
      <c r="B8" s="2">
        <v>25.0</v>
      </c>
      <c r="C8" s="2">
        <v>700.0</v>
      </c>
      <c r="D8" s="3">
        <f t="shared" si="1"/>
        <v>17500</v>
      </c>
      <c r="E8" s="2">
        <v>800.0</v>
      </c>
      <c r="F8" s="3">
        <f t="shared" si="2"/>
        <v>20000</v>
      </c>
    </row>
    <row r="9">
      <c r="A9" s="2" t="s">
        <v>30</v>
      </c>
      <c r="B9" s="2">
        <v>18.0</v>
      </c>
      <c r="C9" s="2">
        <v>179.2</v>
      </c>
      <c r="D9" s="3">
        <f t="shared" si="1"/>
        <v>3225.6</v>
      </c>
      <c r="E9" s="2">
        <v>200.0</v>
      </c>
      <c r="F9" s="3">
        <f t="shared" si="2"/>
        <v>3600</v>
      </c>
    </row>
    <row r="10">
      <c r="A10" s="2" t="s">
        <v>11</v>
      </c>
      <c r="B10" s="2">
        <f>(12*3)+6</f>
        <v>42</v>
      </c>
      <c r="C10" s="2">
        <v>300.0</v>
      </c>
      <c r="D10" s="3">
        <f t="shared" si="1"/>
        <v>12600</v>
      </c>
      <c r="E10" s="2">
        <v>500.0</v>
      </c>
      <c r="F10" s="3">
        <f t="shared" si="2"/>
        <v>21000</v>
      </c>
    </row>
    <row r="11">
      <c r="D11" s="4">
        <f>SUM(D3:D10)</f>
        <v>89575.6</v>
      </c>
      <c r="F11" s="4">
        <f>SUM(F3:F10)</f>
        <v>113600</v>
      </c>
    </row>
    <row r="12">
      <c r="E12" s="5" t="s">
        <v>12</v>
      </c>
      <c r="F12" s="6">
        <f>F11-D11</f>
        <v>24024.4</v>
      </c>
    </row>
    <row r="13">
      <c r="E13" s="7"/>
    </row>
    <row r="14">
      <c r="E14" s="7" t="s">
        <v>13</v>
      </c>
    </row>
    <row r="15">
      <c r="E15" s="2" t="s">
        <v>14</v>
      </c>
      <c r="F15" s="8">
        <f>63450+3000+1000+2000+900+600+400</f>
        <v>71350</v>
      </c>
    </row>
    <row r="16">
      <c r="A16" s="7" t="s">
        <v>19</v>
      </c>
      <c r="E16" s="2" t="s">
        <v>33</v>
      </c>
      <c r="F16" s="8">
        <f>8000+500</f>
        <v>8500</v>
      </c>
    </row>
    <row r="17">
      <c r="A17" s="2" t="s">
        <v>115</v>
      </c>
      <c r="B17" s="10"/>
      <c r="C17" s="8"/>
      <c r="E17" s="2" t="s">
        <v>116</v>
      </c>
      <c r="F17" s="3">
        <f>8*500</f>
        <v>4000</v>
      </c>
    </row>
    <row r="18">
      <c r="A18" s="2" t="s">
        <v>41</v>
      </c>
      <c r="B18" s="10"/>
      <c r="C18" s="8">
        <f>2500</f>
        <v>2500</v>
      </c>
      <c r="D18" s="9" t="s">
        <v>117</v>
      </c>
      <c r="E18" s="2" t="str">
        <f>A16</f>
        <v>Not Paid</v>
      </c>
      <c r="F18" s="3">
        <f>C32</f>
        <v>27750</v>
      </c>
    </row>
    <row r="19">
      <c r="A19" s="2" t="s">
        <v>55</v>
      </c>
      <c r="B19" s="10"/>
      <c r="C19" s="8">
        <v>3200.0</v>
      </c>
      <c r="D19" s="9" t="s">
        <v>117</v>
      </c>
      <c r="E19" s="2" t="s">
        <v>17</v>
      </c>
      <c r="F19" s="3">
        <f>SUM(F15:F18)</f>
        <v>111600</v>
      </c>
    </row>
    <row r="20">
      <c r="A20" s="2" t="s">
        <v>111</v>
      </c>
      <c r="B20" s="10"/>
      <c r="C20" s="8">
        <f>2000</f>
        <v>2000</v>
      </c>
      <c r="D20" s="9" t="s">
        <v>117</v>
      </c>
      <c r="E20" s="2"/>
      <c r="F20" s="8"/>
    </row>
    <row r="21">
      <c r="A21" s="2" t="s">
        <v>40</v>
      </c>
      <c r="B21" s="10"/>
      <c r="C21" s="8">
        <v>1000.0</v>
      </c>
      <c r="F21" s="4">
        <f>F11-F19-F20</f>
        <v>2000</v>
      </c>
    </row>
    <row r="22">
      <c r="A22" s="2" t="s">
        <v>112</v>
      </c>
      <c r="B22" s="10"/>
      <c r="C22" s="8">
        <v>950.0</v>
      </c>
      <c r="D22" s="9" t="s">
        <v>117</v>
      </c>
    </row>
    <row r="23">
      <c r="A23" s="2" t="s">
        <v>113</v>
      </c>
      <c r="B23" s="10"/>
      <c r="C23" s="8">
        <v>3500.0</v>
      </c>
      <c r="D23" s="9" t="s">
        <v>117</v>
      </c>
    </row>
    <row r="24">
      <c r="A24" s="2" t="s">
        <v>118</v>
      </c>
      <c r="B24" s="10"/>
      <c r="C24" s="8">
        <v>1000.0</v>
      </c>
      <c r="D24" s="9" t="s">
        <v>117</v>
      </c>
    </row>
    <row r="25">
      <c r="A25" s="2" t="s">
        <v>39</v>
      </c>
      <c r="B25" s="10"/>
      <c r="C25" s="8">
        <v>3200.0</v>
      </c>
      <c r="D25" s="9" t="s">
        <v>117</v>
      </c>
    </row>
    <row r="26">
      <c r="A26" s="2" t="s">
        <v>119</v>
      </c>
      <c r="B26" s="10"/>
      <c r="C26" s="8">
        <v>1200.0</v>
      </c>
      <c r="D26" s="9" t="s">
        <v>120</v>
      </c>
    </row>
    <row r="27">
      <c r="A27" s="2" t="s">
        <v>121</v>
      </c>
      <c r="B27" s="10"/>
      <c r="C27" s="8">
        <f>1000+1800+1000</f>
        <v>3800</v>
      </c>
      <c r="D27" s="9" t="s">
        <v>117</v>
      </c>
    </row>
    <row r="28">
      <c r="A28" s="2" t="s">
        <v>122</v>
      </c>
      <c r="B28" s="10"/>
      <c r="C28" s="8">
        <v>2000.0</v>
      </c>
      <c r="D28" s="9" t="s">
        <v>117</v>
      </c>
    </row>
    <row r="29">
      <c r="A29" s="2" t="s">
        <v>123</v>
      </c>
      <c r="B29" s="10"/>
      <c r="C29" s="8">
        <v>100.0</v>
      </c>
    </row>
    <row r="30">
      <c r="A30" s="2"/>
      <c r="B30" s="10"/>
      <c r="C30" s="8"/>
    </row>
    <row r="31">
      <c r="A31" s="2" t="s">
        <v>32</v>
      </c>
      <c r="B31" s="10"/>
      <c r="C31" s="8">
        <v>3300.0</v>
      </c>
      <c r="D31" s="9" t="s">
        <v>117</v>
      </c>
    </row>
    <row r="32">
      <c r="A32" s="2"/>
      <c r="B32" s="10"/>
      <c r="C32" s="8">
        <f>SUM(C17:C31)</f>
        <v>27750</v>
      </c>
    </row>
    <row r="43">
      <c r="C43" s="5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>
      <c r="A3" s="2" t="s">
        <v>5</v>
      </c>
      <c r="B3" s="2">
        <v>25.0</v>
      </c>
      <c r="C3" s="2">
        <v>400.0</v>
      </c>
      <c r="D3" s="3">
        <f t="shared" ref="D3:D10" si="1">B3*C3</f>
        <v>10000</v>
      </c>
      <c r="E3" s="2">
        <v>450.0</v>
      </c>
      <c r="F3" s="3">
        <f t="shared" ref="F3:F10" si="2">B3*E3</f>
        <v>11250</v>
      </c>
    </row>
    <row r="4">
      <c r="A4" s="2" t="s">
        <v>6</v>
      </c>
      <c r="B4" s="2">
        <f>31-6</f>
        <v>25</v>
      </c>
      <c r="C4" s="2">
        <v>500.0</v>
      </c>
      <c r="D4" s="3">
        <f t="shared" si="1"/>
        <v>12500</v>
      </c>
      <c r="E4" s="2">
        <v>700.0</v>
      </c>
      <c r="F4" s="3">
        <f t="shared" si="2"/>
        <v>17500</v>
      </c>
    </row>
    <row r="5">
      <c r="A5" s="2" t="s">
        <v>7</v>
      </c>
      <c r="B5" s="2">
        <f>30-6</f>
        <v>24</v>
      </c>
      <c r="C5" s="2">
        <v>450.0</v>
      </c>
      <c r="D5" s="3">
        <f t="shared" si="1"/>
        <v>10800</v>
      </c>
      <c r="E5" s="2">
        <v>500.0</v>
      </c>
      <c r="F5" s="3">
        <f t="shared" si="2"/>
        <v>12000</v>
      </c>
    </row>
    <row r="6">
      <c r="A6" s="2" t="s">
        <v>8</v>
      </c>
      <c r="B6" s="2">
        <v>5.0</v>
      </c>
      <c r="C6" s="2">
        <v>1200.0</v>
      </c>
      <c r="D6" s="3">
        <f t="shared" si="1"/>
        <v>6000</v>
      </c>
      <c r="E6" s="2">
        <v>1400.0</v>
      </c>
      <c r="F6" s="3">
        <f t="shared" si="2"/>
        <v>7000</v>
      </c>
    </row>
    <row r="7">
      <c r="A7" s="2" t="s">
        <v>9</v>
      </c>
      <c r="B7" s="2">
        <v>20.0</v>
      </c>
      <c r="C7" s="2">
        <v>800.0</v>
      </c>
      <c r="D7" s="3">
        <f t="shared" si="1"/>
        <v>16000</v>
      </c>
      <c r="E7" s="2">
        <v>1000.0</v>
      </c>
      <c r="F7" s="3">
        <f t="shared" si="2"/>
        <v>20000</v>
      </c>
    </row>
    <row r="8">
      <c r="A8" s="2" t="s">
        <v>10</v>
      </c>
      <c r="B8" s="2">
        <f>26-6</f>
        <v>20</v>
      </c>
      <c r="C8" s="2">
        <v>700.0</v>
      </c>
      <c r="D8" s="3">
        <f t="shared" si="1"/>
        <v>14000</v>
      </c>
      <c r="E8" s="2">
        <v>800.0</v>
      </c>
      <c r="F8" s="3">
        <f t="shared" si="2"/>
        <v>16000</v>
      </c>
    </row>
    <row r="9">
      <c r="A9" s="2" t="s">
        <v>124</v>
      </c>
      <c r="B9" s="2">
        <f>7-6</f>
        <v>1</v>
      </c>
      <c r="C9" s="2">
        <f>3500/7</f>
        <v>500</v>
      </c>
      <c r="D9" s="3">
        <f t="shared" si="1"/>
        <v>500</v>
      </c>
      <c r="E9" s="2">
        <v>700.0</v>
      </c>
      <c r="F9" s="3">
        <f t="shared" si="2"/>
        <v>700</v>
      </c>
    </row>
    <row r="10">
      <c r="A10" s="2" t="s">
        <v>11</v>
      </c>
      <c r="B10" s="2">
        <v>48.0</v>
      </c>
      <c r="C10" s="2">
        <v>300.0</v>
      </c>
      <c r="D10" s="3">
        <f t="shared" si="1"/>
        <v>14400</v>
      </c>
      <c r="E10" s="2">
        <v>500.0</v>
      </c>
      <c r="F10" s="3">
        <f t="shared" si="2"/>
        <v>24000</v>
      </c>
    </row>
    <row r="11">
      <c r="D11" s="4">
        <f>SUM(D3:D10)</f>
        <v>84200</v>
      </c>
      <c r="F11" s="4">
        <f>SUM(F3:F10)</f>
        <v>108450</v>
      </c>
    </row>
    <row r="12">
      <c r="E12" s="5" t="s">
        <v>12</v>
      </c>
      <c r="F12" s="6">
        <f>F11-D11</f>
        <v>24250</v>
      </c>
    </row>
    <row r="13">
      <c r="E13" s="7"/>
    </row>
    <row r="14">
      <c r="E14" s="7" t="s">
        <v>13</v>
      </c>
    </row>
    <row r="15">
      <c r="E15" s="2" t="s">
        <v>14</v>
      </c>
      <c r="F15" s="8">
        <f>77150</f>
        <v>77150</v>
      </c>
    </row>
    <row r="16">
      <c r="A16" s="7" t="s">
        <v>19</v>
      </c>
      <c r="E16" s="2" t="s">
        <v>33</v>
      </c>
      <c r="F16" s="8">
        <f>1800</f>
        <v>1800</v>
      </c>
    </row>
    <row r="17">
      <c r="A17" s="2"/>
      <c r="B17" s="10"/>
      <c r="C17" s="8"/>
      <c r="E17" s="2" t="s">
        <v>116</v>
      </c>
      <c r="F17" s="8">
        <v>1500.0</v>
      </c>
    </row>
    <row r="18">
      <c r="A18" s="2" t="s">
        <v>118</v>
      </c>
      <c r="B18" s="10"/>
      <c r="C18" s="8">
        <v>3000.0</v>
      </c>
      <c r="E18" s="2" t="str">
        <f>A16</f>
        <v>Not Paid</v>
      </c>
      <c r="F18" s="3">
        <f>C32</f>
        <v>21300</v>
      </c>
    </row>
    <row r="19">
      <c r="A19" s="2" t="s">
        <v>37</v>
      </c>
      <c r="B19" s="10"/>
      <c r="C19" s="8">
        <f>450*3</f>
        <v>1350</v>
      </c>
      <c r="E19" s="9" t="s">
        <v>125</v>
      </c>
      <c r="F19" s="9">
        <v>1400.0</v>
      </c>
    </row>
    <row r="20">
      <c r="A20" s="2" t="s">
        <v>32</v>
      </c>
      <c r="B20" s="10"/>
      <c r="C20" s="8">
        <f>1500+1500+2100</f>
        <v>5100</v>
      </c>
      <c r="E20" s="2" t="s">
        <v>17</v>
      </c>
      <c r="F20" s="3">
        <f>SUM(F15:F19)</f>
        <v>103150</v>
      </c>
    </row>
    <row r="21">
      <c r="A21" s="2"/>
      <c r="B21" s="10"/>
      <c r="C21" s="8"/>
      <c r="F21" s="4">
        <f>F11-F20</f>
        <v>5300</v>
      </c>
    </row>
    <row r="22">
      <c r="A22" s="2" t="s">
        <v>113</v>
      </c>
      <c r="B22" s="10"/>
      <c r="C22" s="8">
        <f>3500+2300</f>
        <v>5800</v>
      </c>
    </row>
    <row r="23">
      <c r="A23" s="2" t="s">
        <v>41</v>
      </c>
      <c r="B23" s="10"/>
      <c r="C23" s="8">
        <v>2800.0</v>
      </c>
    </row>
    <row r="24">
      <c r="A24" s="2" t="s">
        <v>126</v>
      </c>
      <c r="B24" s="10"/>
      <c r="C24" s="8">
        <f>500+450+800</f>
        <v>1750</v>
      </c>
    </row>
    <row r="25">
      <c r="A25" s="2" t="s">
        <v>127</v>
      </c>
      <c r="B25" s="10"/>
      <c r="C25" s="8">
        <v>800.0</v>
      </c>
    </row>
    <row r="26">
      <c r="A26" s="2" t="s">
        <v>27</v>
      </c>
      <c r="B26" s="10"/>
      <c r="C26" s="8">
        <v>700.0</v>
      </c>
    </row>
    <row r="27">
      <c r="A27" s="2"/>
      <c r="B27" s="10"/>
      <c r="C27" s="8"/>
    </row>
    <row r="28">
      <c r="A28" s="2"/>
      <c r="B28" s="10"/>
      <c r="C28" s="8"/>
    </row>
    <row r="29">
      <c r="A29" s="2"/>
      <c r="B29" s="10"/>
      <c r="C29" s="8"/>
    </row>
    <row r="30">
      <c r="A30" s="2"/>
      <c r="B30" s="10"/>
      <c r="C30" s="8"/>
    </row>
    <row r="31">
      <c r="A31" s="2"/>
      <c r="B31" s="10"/>
      <c r="C31" s="8"/>
    </row>
    <row r="32">
      <c r="A32" s="2"/>
      <c r="B32" s="10"/>
      <c r="C32" s="8">
        <f>SUM(C17:C31)</f>
        <v>21300</v>
      </c>
    </row>
    <row r="36">
      <c r="A36" s="9" t="s">
        <v>128</v>
      </c>
      <c r="B36" s="4">
        <f>F15</f>
        <v>77150</v>
      </c>
    </row>
    <row r="37">
      <c r="A37" s="9" t="s">
        <v>129</v>
      </c>
      <c r="B37" s="56">
        <f>F19</f>
        <v>1400</v>
      </c>
    </row>
    <row r="38">
      <c r="A38" s="9" t="s">
        <v>113</v>
      </c>
      <c r="B38" s="4">
        <f t="shared" ref="B38:B39" si="3">C22</f>
        <v>5800</v>
      </c>
    </row>
    <row r="39">
      <c r="A39" s="9" t="s">
        <v>41</v>
      </c>
      <c r="B39" s="4">
        <f t="shared" si="3"/>
        <v>2800</v>
      </c>
    </row>
    <row r="40">
      <c r="A40" s="9" t="s">
        <v>130</v>
      </c>
      <c r="B40" s="4">
        <f>C25</f>
        <v>800</v>
      </c>
    </row>
    <row r="41">
      <c r="A41" s="9" t="s">
        <v>32</v>
      </c>
      <c r="B41" s="9">
        <v>5100.0</v>
      </c>
    </row>
    <row r="42">
      <c r="A42" s="9" t="s">
        <v>131</v>
      </c>
      <c r="B42" s="57">
        <f>Sum(B36:B41)</f>
        <v>93050</v>
      </c>
    </row>
    <row r="43">
      <c r="C43" s="55"/>
    </row>
    <row r="44">
      <c r="A44" s="56" t="str">
        <f t="shared" ref="A44:A45" si="4">A18</f>
        <v>Nonso</v>
      </c>
      <c r="B44" s="4">
        <f t="shared" ref="B44:B45" si="5">C18</f>
        <v>3000</v>
      </c>
    </row>
    <row r="45">
      <c r="A45" s="56" t="str">
        <f t="shared" si="4"/>
        <v>Min Tosin</v>
      </c>
      <c r="B45" s="4">
        <f t="shared" si="5"/>
        <v>1350</v>
      </c>
    </row>
    <row r="46">
      <c r="A46" s="9" t="s">
        <v>27</v>
      </c>
      <c r="B46" s="4">
        <f>C26+F16</f>
        <v>2500</v>
      </c>
    </row>
    <row r="47">
      <c r="A47" s="56" t="str">
        <f>A24</f>
        <v>Seyifunmi </v>
      </c>
      <c r="B47" s="4">
        <f>C24</f>
        <v>1750</v>
      </c>
    </row>
    <row r="48">
      <c r="A48" s="9" t="s">
        <v>132</v>
      </c>
      <c r="B48" s="57">
        <f>Sum(B44:B47)</f>
        <v>8600</v>
      </c>
    </row>
    <row r="49">
      <c r="A49" s="9" t="s">
        <v>116</v>
      </c>
      <c r="B49" s="4">
        <f>F17</f>
        <v>1500</v>
      </c>
    </row>
    <row r="51">
      <c r="B51" s="57">
        <f>B42+B48+B49</f>
        <v>103150</v>
      </c>
    </row>
    <row r="52">
      <c r="B52" s="4">
        <f>111450-B51</f>
        <v>8300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75"/>
    <col customWidth="1" min="5" max="5" width="14.0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>
      <c r="A3" s="2" t="s">
        <v>5</v>
      </c>
      <c r="B3" s="2">
        <v>20.0</v>
      </c>
      <c r="C3" s="2">
        <v>400.0</v>
      </c>
      <c r="D3" s="3">
        <f t="shared" ref="D3:D10" si="1">B3*C3</f>
        <v>8000</v>
      </c>
      <c r="E3" s="2">
        <v>450.0</v>
      </c>
      <c r="F3" s="3">
        <f t="shared" ref="F3:F10" si="2">B3*E3</f>
        <v>9000</v>
      </c>
    </row>
    <row r="4">
      <c r="A4" s="2" t="s">
        <v>6</v>
      </c>
      <c r="B4" s="2">
        <v>25.0</v>
      </c>
      <c r="C4" s="2">
        <v>500.0</v>
      </c>
      <c r="D4" s="3">
        <f t="shared" si="1"/>
        <v>12500</v>
      </c>
      <c r="E4" s="2">
        <v>700.0</v>
      </c>
      <c r="F4" s="3">
        <f t="shared" si="2"/>
        <v>17500</v>
      </c>
    </row>
    <row r="5">
      <c r="A5" s="2" t="s">
        <v>7</v>
      </c>
      <c r="B5" s="2">
        <v>25.0</v>
      </c>
      <c r="C5" s="2">
        <v>450.0</v>
      </c>
      <c r="D5" s="3">
        <f t="shared" si="1"/>
        <v>11250</v>
      </c>
      <c r="E5" s="2">
        <v>500.0</v>
      </c>
      <c r="F5" s="3">
        <f t="shared" si="2"/>
        <v>12500</v>
      </c>
    </row>
    <row r="6">
      <c r="A6" s="2" t="s">
        <v>133</v>
      </c>
      <c r="B6" s="2">
        <v>14.0</v>
      </c>
      <c r="C6" s="2">
        <v>500.0</v>
      </c>
      <c r="D6" s="3">
        <f t="shared" si="1"/>
        <v>7000</v>
      </c>
      <c r="E6" s="2">
        <v>600.0</v>
      </c>
      <c r="F6" s="3">
        <f t="shared" si="2"/>
        <v>8400</v>
      </c>
    </row>
    <row r="7">
      <c r="A7" s="2" t="s">
        <v>9</v>
      </c>
      <c r="B7" s="2">
        <v>20.0</v>
      </c>
      <c r="C7" s="2">
        <v>800.0</v>
      </c>
      <c r="D7" s="3">
        <f t="shared" si="1"/>
        <v>16000</v>
      </c>
      <c r="E7" s="2">
        <v>1000.0</v>
      </c>
      <c r="F7" s="3">
        <f t="shared" si="2"/>
        <v>20000</v>
      </c>
    </row>
    <row r="8">
      <c r="A8" s="2" t="s">
        <v>10</v>
      </c>
      <c r="B8" s="2">
        <v>20.0</v>
      </c>
      <c r="C8" s="2">
        <v>700.0</v>
      </c>
      <c r="D8" s="3">
        <f t="shared" si="1"/>
        <v>14000</v>
      </c>
      <c r="E8" s="2">
        <v>800.0</v>
      </c>
      <c r="F8" s="3">
        <f t="shared" si="2"/>
        <v>16000</v>
      </c>
    </row>
    <row r="9">
      <c r="A9" s="2" t="s">
        <v>124</v>
      </c>
      <c r="B9" s="2">
        <v>10.0</v>
      </c>
      <c r="C9" s="2">
        <f>3500/7</f>
        <v>500</v>
      </c>
      <c r="D9" s="3">
        <f t="shared" si="1"/>
        <v>5000</v>
      </c>
      <c r="E9" s="2">
        <v>600.0</v>
      </c>
      <c r="F9" s="3">
        <f t="shared" si="2"/>
        <v>6000</v>
      </c>
    </row>
    <row r="10">
      <c r="A10" s="2" t="s">
        <v>11</v>
      </c>
      <c r="B10" s="2">
        <v>48.0</v>
      </c>
      <c r="C10" s="2">
        <v>300.0</v>
      </c>
      <c r="D10" s="3">
        <f t="shared" si="1"/>
        <v>14400</v>
      </c>
      <c r="E10" s="2">
        <v>500.0</v>
      </c>
      <c r="F10" s="3">
        <f t="shared" si="2"/>
        <v>24000</v>
      </c>
    </row>
    <row r="11">
      <c r="D11" s="4">
        <f>SUM(D3:D10)</f>
        <v>88150</v>
      </c>
      <c r="F11" s="4">
        <f>SUM(F3:F10)</f>
        <v>113400</v>
      </c>
    </row>
    <row r="12">
      <c r="E12" s="5" t="s">
        <v>12</v>
      </c>
      <c r="F12" s="6">
        <f>F11-D11</f>
        <v>25250</v>
      </c>
    </row>
    <row r="13">
      <c r="E13" s="7"/>
    </row>
    <row r="14">
      <c r="E14" s="7" t="s">
        <v>13</v>
      </c>
    </row>
    <row r="15">
      <c r="E15" s="2" t="s">
        <v>14</v>
      </c>
      <c r="F15" s="8">
        <f>72350</f>
        <v>72350</v>
      </c>
    </row>
    <row r="16">
      <c r="A16" s="7" t="s">
        <v>19</v>
      </c>
      <c r="E16" s="2" t="s">
        <v>33</v>
      </c>
      <c r="F16" s="8">
        <v>6200.0</v>
      </c>
    </row>
    <row r="17">
      <c r="A17" s="2"/>
      <c r="B17" s="10"/>
      <c r="C17" s="8"/>
      <c r="E17" s="2" t="s">
        <v>116</v>
      </c>
      <c r="F17" s="8">
        <f>500*12</f>
        <v>6000</v>
      </c>
    </row>
    <row r="18">
      <c r="A18" s="2" t="s">
        <v>134</v>
      </c>
      <c r="B18" s="10"/>
      <c r="C18" s="8">
        <v>500.0</v>
      </c>
      <c r="D18" s="9" t="s">
        <v>117</v>
      </c>
      <c r="E18" s="2" t="str">
        <f>A16</f>
        <v>Not Paid</v>
      </c>
      <c r="F18" s="3">
        <f>C32</f>
        <v>29150</v>
      </c>
    </row>
    <row r="19">
      <c r="A19" s="2" t="s">
        <v>126</v>
      </c>
      <c r="B19" s="10"/>
      <c r="C19" s="58">
        <v>500.0</v>
      </c>
      <c r="D19" s="9" t="s">
        <v>117</v>
      </c>
      <c r="E19" s="2" t="s">
        <v>125</v>
      </c>
      <c r="F19" s="9">
        <v>0.0</v>
      </c>
    </row>
    <row r="20">
      <c r="A20" s="2" t="s">
        <v>55</v>
      </c>
      <c r="B20" s="10"/>
      <c r="C20" s="8">
        <v>2000.0</v>
      </c>
      <c r="D20" s="9" t="s">
        <v>117</v>
      </c>
      <c r="E20" s="2" t="s">
        <v>17</v>
      </c>
      <c r="F20" s="3">
        <f>SUM(F15:F19)</f>
        <v>113700</v>
      </c>
    </row>
    <row r="21">
      <c r="A21" s="2" t="s">
        <v>28</v>
      </c>
      <c r="B21" s="10"/>
      <c r="C21" s="8">
        <v>450.0</v>
      </c>
      <c r="D21" s="9" t="s">
        <v>117</v>
      </c>
      <c r="F21" s="4">
        <f>F11-F20</f>
        <v>-300</v>
      </c>
    </row>
    <row r="22">
      <c r="A22" s="2" t="s">
        <v>135</v>
      </c>
      <c r="B22" s="10"/>
      <c r="C22" s="8">
        <v>3200.0</v>
      </c>
      <c r="D22" s="9" t="s">
        <v>117</v>
      </c>
    </row>
    <row r="23">
      <c r="A23" s="2" t="s">
        <v>37</v>
      </c>
      <c r="B23" s="10"/>
      <c r="C23" s="8">
        <f>1900+600</f>
        <v>2500</v>
      </c>
      <c r="D23" s="9" t="s">
        <v>117</v>
      </c>
    </row>
    <row r="24">
      <c r="A24" s="2" t="s">
        <v>136</v>
      </c>
      <c r="B24" s="10"/>
      <c r="C24" s="8">
        <v>3800.0</v>
      </c>
      <c r="D24" s="9" t="s">
        <v>117</v>
      </c>
    </row>
    <row r="25">
      <c r="A25" s="2" t="s">
        <v>22</v>
      </c>
      <c r="B25" s="10"/>
      <c r="C25" s="8">
        <v>1200.0</v>
      </c>
      <c r="D25" s="9" t="s">
        <v>117</v>
      </c>
    </row>
    <row r="26">
      <c r="A26" s="2" t="s">
        <v>118</v>
      </c>
      <c r="B26" s="10"/>
      <c r="C26" s="8">
        <v>2700.0</v>
      </c>
      <c r="D26" s="9" t="s">
        <v>117</v>
      </c>
    </row>
    <row r="27">
      <c r="A27" s="2" t="s">
        <v>137</v>
      </c>
      <c r="B27" s="10"/>
      <c r="C27" s="8">
        <v>1700.0</v>
      </c>
      <c r="D27" s="9" t="s">
        <v>117</v>
      </c>
    </row>
    <row r="28">
      <c r="A28" s="2" t="s">
        <v>138</v>
      </c>
      <c r="B28" s="10"/>
      <c r="C28" s="8">
        <v>2000.0</v>
      </c>
      <c r="D28" s="9" t="s">
        <v>117</v>
      </c>
    </row>
    <row r="29">
      <c r="A29" s="2" t="s">
        <v>139</v>
      </c>
      <c r="B29" s="10"/>
      <c r="C29" s="8">
        <v>1500.0</v>
      </c>
      <c r="D29" s="9" t="s">
        <v>117</v>
      </c>
    </row>
    <row r="30">
      <c r="A30" s="2" t="s">
        <v>32</v>
      </c>
      <c r="B30" s="10"/>
      <c r="C30" s="8">
        <f>(600*4)+(500*4)+(500*3)</f>
        <v>5900</v>
      </c>
    </row>
    <row r="31">
      <c r="A31" s="2" t="s">
        <v>140</v>
      </c>
      <c r="B31" s="10"/>
      <c r="C31" s="58">
        <f>1200</f>
        <v>1200</v>
      </c>
      <c r="D31" s="9" t="s">
        <v>117</v>
      </c>
    </row>
    <row r="32">
      <c r="A32" s="2"/>
      <c r="B32" s="10"/>
      <c r="C32" s="8">
        <f>SUM(C17:C31)</f>
        <v>29150</v>
      </c>
    </row>
    <row r="33">
      <c r="C33" s="55"/>
    </row>
    <row r="38">
      <c r="B38" s="16"/>
    </row>
    <row r="41">
      <c r="B41" s="1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75"/>
    <col customWidth="1" min="5" max="5" width="14.0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>
      <c r="A3" s="2" t="s">
        <v>5</v>
      </c>
      <c r="B3" s="2">
        <v>20.0</v>
      </c>
      <c r="C3" s="2">
        <v>400.0</v>
      </c>
      <c r="D3" s="3">
        <f t="shared" ref="D3:D10" si="1">B3*C3</f>
        <v>8000</v>
      </c>
      <c r="E3" s="2">
        <v>450.0</v>
      </c>
      <c r="F3" s="3">
        <f t="shared" ref="F3:F10" si="2">B3*E3</f>
        <v>9000</v>
      </c>
    </row>
    <row r="4">
      <c r="A4" s="2" t="s">
        <v>6</v>
      </c>
      <c r="B4" s="2">
        <v>25.0</v>
      </c>
      <c r="C4" s="2">
        <v>500.0</v>
      </c>
      <c r="D4" s="3">
        <f t="shared" si="1"/>
        <v>12500</v>
      </c>
      <c r="E4" s="2">
        <v>700.0</v>
      </c>
      <c r="F4" s="3">
        <f t="shared" si="2"/>
        <v>17500</v>
      </c>
    </row>
    <row r="5">
      <c r="A5" s="2" t="s">
        <v>7</v>
      </c>
      <c r="B5" s="2">
        <v>25.0</v>
      </c>
      <c r="C5" s="2">
        <v>450.0</v>
      </c>
      <c r="D5" s="3">
        <f t="shared" si="1"/>
        <v>11250</v>
      </c>
      <c r="E5" s="2">
        <v>500.0</v>
      </c>
      <c r="F5" s="3">
        <f t="shared" si="2"/>
        <v>12500</v>
      </c>
    </row>
    <row r="6">
      <c r="A6" s="2" t="s">
        <v>133</v>
      </c>
      <c r="B6" s="2"/>
      <c r="C6" s="2">
        <v>500.0</v>
      </c>
      <c r="D6" s="3">
        <f t="shared" si="1"/>
        <v>0</v>
      </c>
      <c r="E6" s="2">
        <v>600.0</v>
      </c>
      <c r="F6" s="3">
        <f t="shared" si="2"/>
        <v>0</v>
      </c>
    </row>
    <row r="7">
      <c r="A7" s="2" t="s">
        <v>9</v>
      </c>
      <c r="B7" s="2">
        <v>15.0</v>
      </c>
      <c r="C7" s="2">
        <v>800.0</v>
      </c>
      <c r="D7" s="3">
        <f t="shared" si="1"/>
        <v>12000</v>
      </c>
      <c r="E7" s="2">
        <v>1000.0</v>
      </c>
      <c r="F7" s="3">
        <f t="shared" si="2"/>
        <v>15000</v>
      </c>
    </row>
    <row r="8">
      <c r="A8" s="2" t="s">
        <v>10</v>
      </c>
      <c r="B8" s="2">
        <v>20.0</v>
      </c>
      <c r="C8" s="2">
        <v>700.0</v>
      </c>
      <c r="D8" s="3">
        <f t="shared" si="1"/>
        <v>14000</v>
      </c>
      <c r="E8" s="2">
        <v>800.0</v>
      </c>
      <c r="F8" s="3">
        <f t="shared" si="2"/>
        <v>16000</v>
      </c>
    </row>
    <row r="9">
      <c r="A9" s="2" t="s">
        <v>124</v>
      </c>
      <c r="B9" s="2">
        <v>15.0</v>
      </c>
      <c r="C9" s="2">
        <f>3500/7</f>
        <v>500</v>
      </c>
      <c r="D9" s="3">
        <f t="shared" si="1"/>
        <v>7500</v>
      </c>
      <c r="E9" s="2">
        <v>600.0</v>
      </c>
      <c r="F9" s="3">
        <f t="shared" si="2"/>
        <v>9000</v>
      </c>
    </row>
    <row r="10">
      <c r="A10" s="2" t="s">
        <v>11</v>
      </c>
      <c r="B10" s="2">
        <v>48.0</v>
      </c>
      <c r="C10" s="2">
        <v>300.0</v>
      </c>
      <c r="D10" s="3">
        <f t="shared" si="1"/>
        <v>14400</v>
      </c>
      <c r="E10" s="2">
        <v>500.0</v>
      </c>
      <c r="F10" s="3">
        <f t="shared" si="2"/>
        <v>24000</v>
      </c>
    </row>
    <row r="11">
      <c r="D11" s="4">
        <f>SUM(D3:D10)</f>
        <v>79650</v>
      </c>
      <c r="F11" s="4">
        <f>SUM(F3:F10)</f>
        <v>103000</v>
      </c>
    </row>
    <row r="12">
      <c r="E12" s="5" t="s">
        <v>141</v>
      </c>
      <c r="F12" s="59">
        <v>4700.0</v>
      </c>
    </row>
    <row r="13">
      <c r="E13" s="5" t="s">
        <v>12</v>
      </c>
      <c r="F13" s="6">
        <f>F11-D11-F12</f>
        <v>18650</v>
      </c>
    </row>
    <row r="14">
      <c r="E14" s="7"/>
    </row>
    <row r="15">
      <c r="E15" s="7" t="s">
        <v>13</v>
      </c>
    </row>
    <row r="16">
      <c r="E16" s="2" t="s">
        <v>14</v>
      </c>
      <c r="F16" s="8">
        <f>72000</f>
        <v>72000</v>
      </c>
    </row>
    <row r="17">
      <c r="A17" s="7" t="s">
        <v>19</v>
      </c>
      <c r="E17" s="2" t="s">
        <v>33</v>
      </c>
      <c r="F17" s="8">
        <v>3000.0</v>
      </c>
    </row>
    <row r="18">
      <c r="A18" s="2"/>
      <c r="B18" s="10"/>
      <c r="C18" s="8"/>
      <c r="E18" s="2" t="s">
        <v>116</v>
      </c>
      <c r="F18" s="8">
        <f>2500</f>
        <v>2500</v>
      </c>
    </row>
    <row r="19">
      <c r="A19" s="2" t="s">
        <v>140</v>
      </c>
      <c r="B19" s="10"/>
      <c r="C19" s="8">
        <v>2000.0</v>
      </c>
      <c r="D19" s="9" t="s">
        <v>117</v>
      </c>
      <c r="E19" s="2" t="str">
        <f>A17</f>
        <v>Not Paid</v>
      </c>
      <c r="F19" s="3">
        <f>C33</f>
        <v>26500</v>
      </c>
    </row>
    <row r="20">
      <c r="A20" s="2" t="s">
        <v>142</v>
      </c>
      <c r="B20" s="10"/>
      <c r="C20" s="8">
        <v>1500.0</v>
      </c>
      <c r="E20" s="2" t="s">
        <v>125</v>
      </c>
      <c r="F20" s="9">
        <v>0.0</v>
      </c>
    </row>
    <row r="21">
      <c r="A21" s="2" t="s">
        <v>143</v>
      </c>
      <c r="B21" s="10"/>
      <c r="C21" s="8">
        <v>1000.0</v>
      </c>
      <c r="E21" s="2" t="s">
        <v>17</v>
      </c>
      <c r="F21" s="3">
        <f>SUM(F16:F20)</f>
        <v>104000</v>
      </c>
    </row>
    <row r="22">
      <c r="A22" s="2" t="s">
        <v>138</v>
      </c>
      <c r="B22" s="10"/>
      <c r="C22" s="8">
        <v>3600.0</v>
      </c>
      <c r="F22" s="4">
        <f>F11-F21</f>
        <v>-1000</v>
      </c>
    </row>
    <row r="23">
      <c r="A23" s="2" t="s">
        <v>41</v>
      </c>
      <c r="B23" s="10"/>
      <c r="C23" s="8">
        <v>2900.0</v>
      </c>
    </row>
    <row r="24">
      <c r="A24" s="2" t="s">
        <v>144</v>
      </c>
      <c r="B24" s="10"/>
      <c r="C24" s="8">
        <v>3000.0</v>
      </c>
    </row>
    <row r="25">
      <c r="A25" s="2" t="s">
        <v>145</v>
      </c>
      <c r="B25" s="10"/>
      <c r="C25" s="8">
        <v>1300.0</v>
      </c>
    </row>
    <row r="26">
      <c r="A26" s="2" t="s">
        <v>146</v>
      </c>
      <c r="B26" s="10"/>
      <c r="C26" s="8">
        <v>2000.0</v>
      </c>
    </row>
    <row r="27">
      <c r="A27" s="2" t="s">
        <v>32</v>
      </c>
      <c r="B27" s="10"/>
      <c r="C27" s="8">
        <v>5900.0</v>
      </c>
    </row>
    <row r="28">
      <c r="A28" s="2" t="s">
        <v>111</v>
      </c>
      <c r="B28" s="10"/>
      <c r="C28" s="8">
        <v>1500.0</v>
      </c>
    </row>
    <row r="29">
      <c r="A29" s="2" t="s">
        <v>137</v>
      </c>
      <c r="B29" s="10"/>
      <c r="C29" s="8">
        <v>1800.0</v>
      </c>
      <c r="D29" s="9" t="s">
        <v>117</v>
      </c>
    </row>
    <row r="30">
      <c r="A30" s="2"/>
      <c r="B30" s="10"/>
      <c r="C30" s="8"/>
    </row>
    <row r="31">
      <c r="A31" s="2"/>
      <c r="B31" s="10"/>
      <c r="C31" s="8"/>
    </row>
    <row r="32">
      <c r="A32" s="2"/>
      <c r="B32" s="10"/>
      <c r="C32" s="8"/>
    </row>
    <row r="33">
      <c r="A33" s="2"/>
      <c r="B33" s="10"/>
      <c r="C33" s="8">
        <f>SUM(C18:C32)</f>
        <v>26500</v>
      </c>
    </row>
    <row r="34">
      <c r="C34" s="55"/>
    </row>
    <row r="39">
      <c r="B39" s="16"/>
    </row>
    <row r="42">
      <c r="B42" s="1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75"/>
    <col customWidth="1" min="5" max="5" width="14.0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>
      <c r="A3" s="2" t="s">
        <v>5</v>
      </c>
      <c r="B3" s="2">
        <v>25.0</v>
      </c>
      <c r="C3" s="2">
        <v>400.0</v>
      </c>
      <c r="D3" s="3">
        <f t="shared" ref="D3:D10" si="1">B3*C3</f>
        <v>10000</v>
      </c>
      <c r="E3" s="2">
        <v>450.0</v>
      </c>
      <c r="F3" s="3">
        <f t="shared" ref="F3:F10" si="2">B3*E3</f>
        <v>11250</v>
      </c>
    </row>
    <row r="4">
      <c r="A4" s="2" t="s">
        <v>6</v>
      </c>
      <c r="B4" s="2">
        <v>25.0</v>
      </c>
      <c r="C4" s="2">
        <v>500.0</v>
      </c>
      <c r="D4" s="3">
        <f t="shared" si="1"/>
        <v>12500</v>
      </c>
      <c r="E4" s="2">
        <v>700.0</v>
      </c>
      <c r="F4" s="3">
        <f t="shared" si="2"/>
        <v>17500</v>
      </c>
    </row>
    <row r="5">
      <c r="A5" s="2" t="s">
        <v>7</v>
      </c>
      <c r="B5" s="2">
        <v>30.0</v>
      </c>
      <c r="C5" s="2">
        <v>450.0</v>
      </c>
      <c r="D5" s="3">
        <f t="shared" si="1"/>
        <v>13500</v>
      </c>
      <c r="E5" s="2">
        <v>500.0</v>
      </c>
      <c r="F5" s="3">
        <f t="shared" si="2"/>
        <v>15000</v>
      </c>
    </row>
    <row r="6">
      <c r="A6" s="2" t="s">
        <v>133</v>
      </c>
      <c r="B6" s="2"/>
      <c r="C6" s="2">
        <v>500.0</v>
      </c>
      <c r="D6" s="3">
        <f t="shared" si="1"/>
        <v>0</v>
      </c>
      <c r="E6" s="2">
        <v>600.0</v>
      </c>
      <c r="F6" s="3">
        <f t="shared" si="2"/>
        <v>0</v>
      </c>
    </row>
    <row r="7">
      <c r="A7" s="2" t="s">
        <v>9</v>
      </c>
      <c r="B7" s="2">
        <v>20.0</v>
      </c>
      <c r="C7" s="2">
        <v>800.0</v>
      </c>
      <c r="D7" s="3">
        <f t="shared" si="1"/>
        <v>16000</v>
      </c>
      <c r="E7" s="2">
        <v>1000.0</v>
      </c>
      <c r="F7" s="3">
        <f t="shared" si="2"/>
        <v>20000</v>
      </c>
    </row>
    <row r="8">
      <c r="A8" s="2" t="s">
        <v>10</v>
      </c>
      <c r="B8" s="2">
        <v>20.0</v>
      </c>
      <c r="C8" s="2">
        <v>700.0</v>
      </c>
      <c r="D8" s="3">
        <f t="shared" si="1"/>
        <v>14000</v>
      </c>
      <c r="E8" s="2">
        <v>800.0</v>
      </c>
      <c r="F8" s="3">
        <f t="shared" si="2"/>
        <v>16000</v>
      </c>
    </row>
    <row r="9">
      <c r="A9" s="2" t="s">
        <v>124</v>
      </c>
      <c r="B9" s="2">
        <v>15.0</v>
      </c>
      <c r="C9" s="2">
        <f>3500/7</f>
        <v>500</v>
      </c>
      <c r="D9" s="3">
        <f t="shared" si="1"/>
        <v>7500</v>
      </c>
      <c r="E9" s="2">
        <v>600.0</v>
      </c>
      <c r="F9" s="3">
        <f t="shared" si="2"/>
        <v>9000</v>
      </c>
    </row>
    <row r="10">
      <c r="A10" s="2" t="s">
        <v>11</v>
      </c>
      <c r="B10" s="2">
        <f>48-20</f>
        <v>28</v>
      </c>
      <c r="C10" s="2">
        <v>300.0</v>
      </c>
      <c r="D10" s="3">
        <f t="shared" si="1"/>
        <v>8400</v>
      </c>
      <c r="E10" s="2">
        <v>500.0</v>
      </c>
      <c r="F10" s="3">
        <f t="shared" si="2"/>
        <v>14000</v>
      </c>
    </row>
    <row r="11">
      <c r="D11" s="4">
        <f>SUM(D3:D10)</f>
        <v>81900</v>
      </c>
      <c r="F11" s="4">
        <f>SUM(F3:F10)</f>
        <v>102750</v>
      </c>
    </row>
    <row r="12">
      <c r="E12" s="5" t="s">
        <v>141</v>
      </c>
      <c r="F12" s="59"/>
    </row>
    <row r="13">
      <c r="E13" s="5" t="s">
        <v>12</v>
      </c>
      <c r="F13" s="6">
        <f>F11-D11-F12</f>
        <v>20850</v>
      </c>
    </row>
    <row r="14">
      <c r="E14" s="7"/>
    </row>
    <row r="15">
      <c r="E15" s="7" t="s">
        <v>13</v>
      </c>
    </row>
    <row r="16">
      <c r="E16" s="2" t="s">
        <v>14</v>
      </c>
      <c r="F16" s="8">
        <v>61300.0</v>
      </c>
    </row>
    <row r="17">
      <c r="A17" s="7" t="s">
        <v>19</v>
      </c>
      <c r="E17" s="2" t="s">
        <v>33</v>
      </c>
      <c r="F17" s="8">
        <v>17500.0</v>
      </c>
    </row>
    <row r="18">
      <c r="A18" s="2" t="s">
        <v>111</v>
      </c>
      <c r="B18" s="10"/>
      <c r="C18" s="8">
        <v>1200.0</v>
      </c>
      <c r="E18" s="2" t="s">
        <v>116</v>
      </c>
      <c r="F18" s="8">
        <f>6500</f>
        <v>6500</v>
      </c>
    </row>
    <row r="19">
      <c r="A19" s="2" t="s">
        <v>113</v>
      </c>
      <c r="B19" s="10"/>
      <c r="C19" s="8">
        <v>1900.0</v>
      </c>
      <c r="E19" s="2" t="str">
        <f>A17</f>
        <v>Not Paid</v>
      </c>
      <c r="F19" s="3">
        <f>C33</f>
        <v>8900</v>
      </c>
    </row>
    <row r="20">
      <c r="A20" s="2" t="s">
        <v>147</v>
      </c>
      <c r="B20" s="10"/>
      <c r="C20" s="8">
        <v>2800.0</v>
      </c>
      <c r="E20" s="2" t="s">
        <v>148</v>
      </c>
      <c r="F20" s="60">
        <f>6600+4200</f>
        <v>10800</v>
      </c>
    </row>
    <row r="21">
      <c r="A21" s="2" t="s">
        <v>149</v>
      </c>
      <c r="B21" s="10"/>
      <c r="C21" s="8">
        <v>3000.0</v>
      </c>
      <c r="E21" s="2" t="s">
        <v>17</v>
      </c>
      <c r="F21" s="3">
        <f>SUM(F16:F20)</f>
        <v>105000</v>
      </c>
    </row>
    <row r="22">
      <c r="A22" s="2"/>
      <c r="B22" s="10"/>
      <c r="C22" s="8"/>
      <c r="F22" s="4">
        <f>F11-F21</f>
        <v>-2250</v>
      </c>
    </row>
    <row r="23">
      <c r="A23" s="2"/>
      <c r="B23" s="10"/>
      <c r="C23" s="8"/>
    </row>
    <row r="24">
      <c r="A24" s="2"/>
      <c r="B24" s="10"/>
      <c r="C24" s="8"/>
    </row>
    <row r="25">
      <c r="A25" s="2"/>
      <c r="B25" s="10"/>
      <c r="C25" s="8"/>
    </row>
    <row r="26">
      <c r="A26" s="2"/>
      <c r="B26" s="10"/>
      <c r="C26" s="8"/>
    </row>
    <row r="27">
      <c r="A27" s="2"/>
      <c r="B27" s="10"/>
      <c r="C27" s="8"/>
    </row>
    <row r="28">
      <c r="A28" s="2"/>
      <c r="B28" s="10"/>
      <c r="C28" s="8"/>
    </row>
    <row r="29">
      <c r="A29" s="2"/>
      <c r="B29" s="10"/>
      <c r="C29" s="8"/>
    </row>
    <row r="30">
      <c r="A30" s="2"/>
      <c r="B30" s="10"/>
      <c r="C30" s="8"/>
    </row>
    <row r="31">
      <c r="A31" s="2"/>
      <c r="B31" s="10"/>
      <c r="C31" s="8"/>
    </row>
    <row r="32">
      <c r="A32" s="2"/>
      <c r="B32" s="10"/>
      <c r="C32" s="8"/>
    </row>
    <row r="33">
      <c r="A33" s="2"/>
      <c r="B33" s="10"/>
      <c r="C33" s="8">
        <f>SUM(C18:C32)</f>
        <v>8900</v>
      </c>
    </row>
    <row r="34">
      <c r="C34" s="55"/>
    </row>
    <row r="39">
      <c r="B39" s="16"/>
    </row>
    <row r="42">
      <c r="B42" s="1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75"/>
    <col customWidth="1" min="5" max="5" width="14.0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>
      <c r="A3" s="2" t="s">
        <v>5</v>
      </c>
      <c r="B3" s="2">
        <v>25.0</v>
      </c>
      <c r="C3" s="2">
        <v>400.0</v>
      </c>
      <c r="D3" s="3">
        <f t="shared" ref="D3:D10" si="1">B3*C3</f>
        <v>10000</v>
      </c>
      <c r="E3" s="2">
        <v>450.0</v>
      </c>
      <c r="F3" s="3">
        <f t="shared" ref="F3:F10" si="2">B3*E3</f>
        <v>11250</v>
      </c>
    </row>
    <row r="4">
      <c r="A4" s="2" t="s">
        <v>6</v>
      </c>
      <c r="B4" s="2">
        <v>25.0</v>
      </c>
      <c r="C4" s="2">
        <v>500.0</v>
      </c>
      <c r="D4" s="3">
        <f t="shared" si="1"/>
        <v>12500</v>
      </c>
      <c r="E4" s="2">
        <v>700.0</v>
      </c>
      <c r="F4" s="3">
        <f t="shared" si="2"/>
        <v>17500</v>
      </c>
    </row>
    <row r="5">
      <c r="A5" s="2" t="s">
        <v>7</v>
      </c>
      <c r="B5" s="2">
        <v>30.0</v>
      </c>
      <c r="C5" s="2">
        <v>450.0</v>
      </c>
      <c r="D5" s="3">
        <f t="shared" si="1"/>
        <v>13500</v>
      </c>
      <c r="E5" s="2">
        <v>500.0</v>
      </c>
      <c r="F5" s="3">
        <f t="shared" si="2"/>
        <v>15000</v>
      </c>
    </row>
    <row r="6">
      <c r="A6" s="2" t="s">
        <v>150</v>
      </c>
      <c r="B6" s="2">
        <v>12.0</v>
      </c>
      <c r="C6" s="2">
        <v>900.0</v>
      </c>
      <c r="D6" s="3">
        <f t="shared" si="1"/>
        <v>10800</v>
      </c>
      <c r="E6" s="2">
        <v>1000.0</v>
      </c>
      <c r="F6" s="3">
        <f t="shared" si="2"/>
        <v>12000</v>
      </c>
    </row>
    <row r="7">
      <c r="A7" s="2" t="s">
        <v>9</v>
      </c>
      <c r="B7" s="2">
        <v>20.0</v>
      </c>
      <c r="C7" s="2">
        <v>800.0</v>
      </c>
      <c r="D7" s="3">
        <f t="shared" si="1"/>
        <v>16000</v>
      </c>
      <c r="E7" s="2">
        <v>1000.0</v>
      </c>
      <c r="F7" s="3">
        <f t="shared" si="2"/>
        <v>20000</v>
      </c>
    </row>
    <row r="8">
      <c r="A8" s="2" t="s">
        <v>10</v>
      </c>
      <c r="B8" s="2">
        <v>20.0</v>
      </c>
      <c r="C8" s="2">
        <v>700.0</v>
      </c>
      <c r="D8" s="3">
        <f t="shared" si="1"/>
        <v>14000</v>
      </c>
      <c r="E8" s="2">
        <v>800.0</v>
      </c>
      <c r="F8" s="3">
        <f t="shared" si="2"/>
        <v>16000</v>
      </c>
    </row>
    <row r="9">
      <c r="A9" s="2" t="s">
        <v>124</v>
      </c>
      <c r="B9" s="2">
        <v>15.0</v>
      </c>
      <c r="C9" s="2">
        <f>3500/7</f>
        <v>500</v>
      </c>
      <c r="D9" s="3">
        <f t="shared" si="1"/>
        <v>7500</v>
      </c>
      <c r="E9" s="2">
        <v>600.0</v>
      </c>
      <c r="F9" s="3">
        <f t="shared" si="2"/>
        <v>9000</v>
      </c>
    </row>
    <row r="10">
      <c r="A10" s="2" t="s">
        <v>11</v>
      </c>
      <c r="B10" s="2">
        <f>48-9</f>
        <v>39</v>
      </c>
      <c r="C10" s="2">
        <v>300.0</v>
      </c>
      <c r="D10" s="3">
        <f t="shared" si="1"/>
        <v>11700</v>
      </c>
      <c r="E10" s="2">
        <v>500.0</v>
      </c>
      <c r="F10" s="3">
        <f t="shared" si="2"/>
        <v>19500</v>
      </c>
    </row>
    <row r="11">
      <c r="D11" s="4">
        <f>SUM(D3:D10)</f>
        <v>96000</v>
      </c>
      <c r="F11" s="4">
        <f>SUM(F3:F10)</f>
        <v>120250</v>
      </c>
    </row>
    <row r="12">
      <c r="E12" s="5" t="s">
        <v>141</v>
      </c>
      <c r="F12" s="59">
        <v>3900.0</v>
      </c>
    </row>
    <row r="13">
      <c r="E13" s="5" t="s">
        <v>12</v>
      </c>
      <c r="F13" s="6">
        <f>F11-D11-F12</f>
        <v>20350</v>
      </c>
    </row>
    <row r="14">
      <c r="E14" s="7"/>
    </row>
    <row r="15">
      <c r="E15" s="7" t="s">
        <v>13</v>
      </c>
    </row>
    <row r="16">
      <c r="E16" s="2" t="s">
        <v>14</v>
      </c>
      <c r="F16" s="8">
        <v>84000.0</v>
      </c>
    </row>
    <row r="17">
      <c r="A17" s="7" t="s">
        <v>19</v>
      </c>
      <c r="E17" s="2" t="s">
        <v>33</v>
      </c>
      <c r="F17" s="8">
        <v>2000.0</v>
      </c>
    </row>
    <row r="18">
      <c r="A18" s="2" t="s">
        <v>118</v>
      </c>
      <c r="B18" s="10"/>
      <c r="C18" s="8">
        <v>2100.0</v>
      </c>
      <c r="E18" s="2" t="s">
        <v>151</v>
      </c>
      <c r="F18" s="8">
        <v>16600.0</v>
      </c>
    </row>
    <row r="19">
      <c r="A19" s="2" t="s">
        <v>113</v>
      </c>
      <c r="B19" s="10"/>
      <c r="C19" s="8">
        <v>4900.0</v>
      </c>
      <c r="D19" s="9" t="s">
        <v>117</v>
      </c>
      <c r="E19" s="2" t="str">
        <f>A17</f>
        <v>Not Paid</v>
      </c>
      <c r="F19" s="3">
        <f>C33</f>
        <v>12300</v>
      </c>
    </row>
    <row r="20">
      <c r="A20" s="2" t="s">
        <v>147</v>
      </c>
      <c r="B20" s="10"/>
      <c r="C20" s="8">
        <v>4300.0</v>
      </c>
      <c r="E20" s="2" t="s">
        <v>148</v>
      </c>
      <c r="F20" s="60"/>
    </row>
    <row r="21">
      <c r="A21" s="2" t="s">
        <v>27</v>
      </c>
      <c r="B21" s="10"/>
      <c r="C21" s="8">
        <v>1000.0</v>
      </c>
      <c r="E21" s="2" t="s">
        <v>17</v>
      </c>
      <c r="F21" s="3">
        <f>SUM(F16:F20)</f>
        <v>114900</v>
      </c>
    </row>
    <row r="22">
      <c r="A22" s="2"/>
      <c r="B22" s="10"/>
      <c r="C22" s="8"/>
      <c r="E22" s="9" t="s">
        <v>152</v>
      </c>
      <c r="F22" s="57">
        <f>F11-F21</f>
        <v>5350</v>
      </c>
    </row>
    <row r="23">
      <c r="A23" s="2"/>
      <c r="B23" s="10"/>
      <c r="C23" s="8"/>
    </row>
    <row r="24">
      <c r="A24" s="2"/>
      <c r="B24" s="10"/>
      <c r="C24" s="8"/>
    </row>
    <row r="25">
      <c r="A25" s="2"/>
      <c r="B25" s="10"/>
      <c r="C25" s="8"/>
    </row>
    <row r="26">
      <c r="A26" s="2"/>
      <c r="B26" s="10"/>
      <c r="C26" s="8"/>
    </row>
    <row r="27">
      <c r="A27" s="2"/>
      <c r="B27" s="10"/>
      <c r="C27" s="8"/>
    </row>
    <row r="28">
      <c r="A28" s="2"/>
      <c r="B28" s="10"/>
      <c r="C28" s="8"/>
    </row>
    <row r="29">
      <c r="A29" s="2"/>
      <c r="B29" s="10"/>
      <c r="C29" s="8"/>
    </row>
    <row r="30">
      <c r="A30" s="2"/>
      <c r="B30" s="10"/>
      <c r="C30" s="8"/>
    </row>
    <row r="31">
      <c r="A31" s="2"/>
      <c r="B31" s="10"/>
      <c r="C31" s="8"/>
    </row>
    <row r="32">
      <c r="A32" s="2"/>
      <c r="B32" s="10"/>
      <c r="C32" s="8"/>
    </row>
    <row r="33">
      <c r="A33" s="2"/>
      <c r="B33" s="10"/>
      <c r="C33" s="8">
        <f>SUM(C18:C32)</f>
        <v>12300</v>
      </c>
    </row>
    <row r="34">
      <c r="C34" s="55"/>
    </row>
    <row r="39">
      <c r="B39" s="16"/>
    </row>
    <row r="42">
      <c r="B42" s="1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75"/>
    <col customWidth="1" min="5" max="5" width="14.0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>
      <c r="A3" s="2" t="s">
        <v>5</v>
      </c>
      <c r="B3" s="2">
        <v>25.0</v>
      </c>
      <c r="C3" s="2">
        <v>400.0</v>
      </c>
      <c r="D3" s="3">
        <f t="shared" ref="D3:D10" si="1">B3*C3</f>
        <v>10000</v>
      </c>
      <c r="E3" s="2">
        <v>450.0</v>
      </c>
      <c r="F3" s="3">
        <f t="shared" ref="F3:F10" si="2">B3*E3</f>
        <v>11250</v>
      </c>
    </row>
    <row r="4">
      <c r="A4" s="2" t="s">
        <v>6</v>
      </c>
      <c r="B4" s="2">
        <v>25.0</v>
      </c>
      <c r="C4" s="2">
        <v>500.0</v>
      </c>
      <c r="D4" s="3">
        <f t="shared" si="1"/>
        <v>12500</v>
      </c>
      <c r="E4" s="2">
        <v>700.0</v>
      </c>
      <c r="F4" s="3">
        <f t="shared" si="2"/>
        <v>17500</v>
      </c>
    </row>
    <row r="5">
      <c r="A5" s="2" t="s">
        <v>7</v>
      </c>
      <c r="B5" s="2">
        <f>30-13</f>
        <v>17</v>
      </c>
      <c r="C5" s="2">
        <v>450.0</v>
      </c>
      <c r="D5" s="3">
        <f t="shared" si="1"/>
        <v>7650</v>
      </c>
      <c r="E5" s="2">
        <v>500.0</v>
      </c>
      <c r="F5" s="3">
        <f t="shared" si="2"/>
        <v>8500</v>
      </c>
    </row>
    <row r="6">
      <c r="A6" s="2" t="s">
        <v>150</v>
      </c>
      <c r="B6" s="2"/>
      <c r="C6" s="2">
        <v>900.0</v>
      </c>
      <c r="D6" s="3">
        <f t="shared" si="1"/>
        <v>0</v>
      </c>
      <c r="E6" s="2">
        <v>1000.0</v>
      </c>
      <c r="F6" s="3">
        <f t="shared" si="2"/>
        <v>0</v>
      </c>
    </row>
    <row r="7">
      <c r="A7" s="2" t="s">
        <v>9</v>
      </c>
      <c r="B7" s="2">
        <v>20.0</v>
      </c>
      <c r="C7" s="2">
        <v>800.0</v>
      </c>
      <c r="D7" s="3">
        <f t="shared" si="1"/>
        <v>16000</v>
      </c>
      <c r="E7" s="2">
        <v>1000.0</v>
      </c>
      <c r="F7" s="3">
        <f t="shared" si="2"/>
        <v>20000</v>
      </c>
    </row>
    <row r="8">
      <c r="A8" s="2" t="s">
        <v>10</v>
      </c>
      <c r="B8" s="2">
        <v>20.0</v>
      </c>
      <c r="C8" s="2">
        <v>700.0</v>
      </c>
      <c r="D8" s="3">
        <f t="shared" si="1"/>
        <v>14000</v>
      </c>
      <c r="E8" s="2">
        <v>800.0</v>
      </c>
      <c r="F8" s="3">
        <f t="shared" si="2"/>
        <v>16000</v>
      </c>
    </row>
    <row r="9">
      <c r="A9" s="2" t="s">
        <v>124</v>
      </c>
      <c r="B9" s="2">
        <v>15.0</v>
      </c>
      <c r="C9" s="2">
        <f>3500/7</f>
        <v>500</v>
      </c>
      <c r="D9" s="3">
        <f t="shared" si="1"/>
        <v>7500</v>
      </c>
      <c r="E9" s="2">
        <v>600.0</v>
      </c>
      <c r="F9" s="3">
        <f t="shared" si="2"/>
        <v>9000</v>
      </c>
    </row>
    <row r="10">
      <c r="A10" s="2" t="s">
        <v>11</v>
      </c>
      <c r="B10" s="2">
        <v>48.0</v>
      </c>
      <c r="C10" s="2">
        <v>300.0</v>
      </c>
      <c r="D10" s="3">
        <f t="shared" si="1"/>
        <v>14400</v>
      </c>
      <c r="E10" s="2">
        <v>500.0</v>
      </c>
      <c r="F10" s="3">
        <f t="shared" si="2"/>
        <v>24000</v>
      </c>
    </row>
    <row r="11">
      <c r="D11" s="4">
        <f>SUM(D3:D10)</f>
        <v>82050</v>
      </c>
      <c r="F11" s="4">
        <f>SUM(F3:F10)</f>
        <v>106250</v>
      </c>
    </row>
    <row r="12">
      <c r="E12" s="5" t="s">
        <v>141</v>
      </c>
      <c r="F12" s="59"/>
    </row>
    <row r="13">
      <c r="E13" s="5" t="s">
        <v>12</v>
      </c>
      <c r="F13" s="6">
        <f>F11-D11-F12</f>
        <v>24200</v>
      </c>
    </row>
    <row r="14">
      <c r="E14" s="7"/>
    </row>
    <row r="15">
      <c r="E15" s="7" t="s">
        <v>13</v>
      </c>
    </row>
    <row r="16">
      <c r="E16" s="2" t="s">
        <v>14</v>
      </c>
      <c r="F16" s="8">
        <v>99000.0</v>
      </c>
    </row>
    <row r="17">
      <c r="A17" s="7" t="s">
        <v>19</v>
      </c>
      <c r="E17" s="2" t="s">
        <v>33</v>
      </c>
      <c r="F17" s="8"/>
    </row>
    <row r="18">
      <c r="A18" s="2" t="s">
        <v>111</v>
      </c>
      <c r="B18" s="10"/>
      <c r="C18" s="61">
        <v>2600.0</v>
      </c>
      <c r="D18" s="9" t="s">
        <v>153</v>
      </c>
      <c r="E18" s="2" t="s">
        <v>151</v>
      </c>
      <c r="F18" s="8"/>
    </row>
    <row r="19">
      <c r="A19" s="2" t="s">
        <v>154</v>
      </c>
      <c r="B19" s="10"/>
      <c r="C19" s="8">
        <v>3400.0</v>
      </c>
      <c r="D19" s="9" t="s">
        <v>155</v>
      </c>
      <c r="E19" s="2" t="str">
        <f>A17</f>
        <v>Not Paid</v>
      </c>
      <c r="F19" s="3">
        <f>C33</f>
        <v>11700</v>
      </c>
    </row>
    <row r="20">
      <c r="A20" s="2" t="s">
        <v>156</v>
      </c>
      <c r="B20" s="10"/>
      <c r="C20" s="61">
        <v>1400.0</v>
      </c>
      <c r="D20" s="9" t="s">
        <v>117</v>
      </c>
      <c r="E20" s="2" t="s">
        <v>148</v>
      </c>
      <c r="F20" s="60"/>
    </row>
    <row r="21">
      <c r="A21" s="2" t="s">
        <v>41</v>
      </c>
      <c r="B21" s="10"/>
      <c r="C21" s="8">
        <v>4300.0</v>
      </c>
      <c r="D21" s="9" t="s">
        <v>155</v>
      </c>
      <c r="E21" s="2" t="s">
        <v>17</v>
      </c>
      <c r="F21" s="3">
        <f>SUM(F16:F20)</f>
        <v>110700</v>
      </c>
    </row>
    <row r="22">
      <c r="A22" s="2"/>
      <c r="B22" s="10"/>
      <c r="C22" s="8"/>
      <c r="E22" s="9" t="s">
        <v>152</v>
      </c>
      <c r="F22" s="57">
        <f>F11-F21</f>
        <v>-4450</v>
      </c>
    </row>
    <row r="23">
      <c r="A23" s="2"/>
      <c r="B23" s="10"/>
      <c r="C23" s="8"/>
    </row>
    <row r="24">
      <c r="A24" s="2"/>
      <c r="B24" s="10"/>
      <c r="C24" s="8"/>
    </row>
    <row r="25">
      <c r="A25" s="2"/>
      <c r="B25" s="10"/>
      <c r="C25" s="8"/>
    </row>
    <row r="26">
      <c r="A26" s="2"/>
      <c r="B26" s="10"/>
      <c r="C26" s="8"/>
    </row>
    <row r="27">
      <c r="A27" s="2"/>
      <c r="B27" s="10"/>
      <c r="C27" s="8"/>
    </row>
    <row r="28">
      <c r="A28" s="2"/>
      <c r="B28" s="10"/>
      <c r="C28" s="8"/>
    </row>
    <row r="29">
      <c r="A29" s="2"/>
      <c r="B29" s="10"/>
      <c r="C29" s="8"/>
    </row>
    <row r="30">
      <c r="A30" s="2"/>
      <c r="B30" s="10"/>
      <c r="C30" s="8"/>
    </row>
    <row r="31">
      <c r="A31" s="2"/>
      <c r="B31" s="10"/>
      <c r="C31" s="8"/>
    </row>
    <row r="32">
      <c r="A32" s="2"/>
      <c r="B32" s="10"/>
      <c r="C32" s="8"/>
    </row>
    <row r="33">
      <c r="A33" s="2"/>
      <c r="B33" s="10"/>
      <c r="C33" s="8">
        <f>SUM(C18:C32)</f>
        <v>11700</v>
      </c>
    </row>
    <row r="34">
      <c r="C34" s="55"/>
    </row>
    <row r="39">
      <c r="B39" s="16"/>
    </row>
    <row r="42">
      <c r="B42" s="16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75"/>
    <col customWidth="1" min="5" max="5" width="14.0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>
      <c r="A3" s="2" t="s">
        <v>5</v>
      </c>
      <c r="B3" s="2">
        <v>25.0</v>
      </c>
      <c r="C3" s="2">
        <v>400.0</v>
      </c>
      <c r="D3" s="3">
        <f t="shared" ref="D3:D10" si="1">B3*C3</f>
        <v>10000</v>
      </c>
      <c r="E3" s="2">
        <v>450.0</v>
      </c>
      <c r="F3" s="3">
        <f t="shared" ref="F3:F10" si="2">B3*E3</f>
        <v>11250</v>
      </c>
    </row>
    <row r="4">
      <c r="A4" s="2" t="s">
        <v>6</v>
      </c>
      <c r="B4" s="2">
        <v>25.0</v>
      </c>
      <c r="C4" s="2">
        <v>500.0</v>
      </c>
      <c r="D4" s="3">
        <f t="shared" si="1"/>
        <v>12500</v>
      </c>
      <c r="E4" s="2">
        <v>700.0</v>
      </c>
      <c r="F4" s="3">
        <f t="shared" si="2"/>
        <v>17500</v>
      </c>
    </row>
    <row r="5">
      <c r="A5" s="2" t="s">
        <v>7</v>
      </c>
      <c r="B5" s="2">
        <f>30-6</f>
        <v>24</v>
      </c>
      <c r="C5" s="2">
        <v>450.0</v>
      </c>
      <c r="D5" s="3">
        <f t="shared" si="1"/>
        <v>10800</v>
      </c>
      <c r="E5" s="2">
        <v>500.0</v>
      </c>
      <c r="F5" s="3">
        <f t="shared" si="2"/>
        <v>12000</v>
      </c>
    </row>
    <row r="6">
      <c r="A6" s="2" t="s">
        <v>150</v>
      </c>
      <c r="B6" s="2"/>
      <c r="C6" s="2">
        <v>900.0</v>
      </c>
      <c r="D6" s="3">
        <f t="shared" si="1"/>
        <v>0</v>
      </c>
      <c r="E6" s="2">
        <v>1000.0</v>
      </c>
      <c r="F6" s="3">
        <f t="shared" si="2"/>
        <v>0</v>
      </c>
    </row>
    <row r="7">
      <c r="A7" s="2" t="s">
        <v>9</v>
      </c>
      <c r="B7" s="2">
        <v>20.0</v>
      </c>
      <c r="C7" s="2">
        <v>800.0</v>
      </c>
      <c r="D7" s="3">
        <f t="shared" si="1"/>
        <v>16000</v>
      </c>
      <c r="E7" s="2">
        <v>1000.0</v>
      </c>
      <c r="F7" s="3">
        <f t="shared" si="2"/>
        <v>20000</v>
      </c>
    </row>
    <row r="8">
      <c r="A8" s="2" t="s">
        <v>10</v>
      </c>
      <c r="B8" s="2">
        <v>20.0</v>
      </c>
      <c r="C8" s="2">
        <v>700.0</v>
      </c>
      <c r="D8" s="3">
        <f t="shared" si="1"/>
        <v>14000</v>
      </c>
      <c r="E8" s="2">
        <v>800.0</v>
      </c>
      <c r="F8" s="3">
        <f t="shared" si="2"/>
        <v>16000</v>
      </c>
    </row>
    <row r="9">
      <c r="A9" s="2" t="s">
        <v>124</v>
      </c>
      <c r="B9" s="2">
        <v>15.0</v>
      </c>
      <c r="C9" s="2">
        <f>3500/7</f>
        <v>500</v>
      </c>
      <c r="D9" s="3">
        <f t="shared" si="1"/>
        <v>7500</v>
      </c>
      <c r="E9" s="2">
        <v>600.0</v>
      </c>
      <c r="F9" s="3">
        <f t="shared" si="2"/>
        <v>9000</v>
      </c>
    </row>
    <row r="10">
      <c r="A10" s="2" t="s">
        <v>11</v>
      </c>
      <c r="B10" s="2">
        <v>48.0</v>
      </c>
      <c r="C10" s="2">
        <v>300.0</v>
      </c>
      <c r="D10" s="3">
        <f t="shared" si="1"/>
        <v>14400</v>
      </c>
      <c r="E10" s="2">
        <v>500.0</v>
      </c>
      <c r="F10" s="3">
        <f t="shared" si="2"/>
        <v>24000</v>
      </c>
    </row>
    <row r="11">
      <c r="D11" s="4">
        <f>SUM(D3:D10)</f>
        <v>85200</v>
      </c>
      <c r="F11" s="4">
        <f>SUM(F3:F10)</f>
        <v>109750</v>
      </c>
    </row>
    <row r="12">
      <c r="E12" s="5" t="s">
        <v>141</v>
      </c>
      <c r="F12" s="59">
        <f>2000+400</f>
        <v>2400</v>
      </c>
    </row>
    <row r="13">
      <c r="E13" s="5" t="s">
        <v>12</v>
      </c>
      <c r="F13" s="6">
        <f>F11-D11-F12</f>
        <v>22150</v>
      </c>
    </row>
    <row r="14">
      <c r="E14" s="7"/>
    </row>
    <row r="15">
      <c r="E15" s="7" t="s">
        <v>13</v>
      </c>
    </row>
    <row r="16">
      <c r="E16" s="2" t="s">
        <v>14</v>
      </c>
      <c r="F16" s="8">
        <f>78950+3400+600+2000</f>
        <v>84950</v>
      </c>
    </row>
    <row r="17">
      <c r="A17" s="7" t="s">
        <v>19</v>
      </c>
      <c r="E17" s="2" t="s">
        <v>16</v>
      </c>
      <c r="F17" s="8">
        <v>3000.0</v>
      </c>
      <c r="G17" s="9" t="s">
        <v>157</v>
      </c>
    </row>
    <row r="18">
      <c r="A18" s="2"/>
      <c r="B18" s="10"/>
      <c r="C18" s="8"/>
      <c r="E18" s="2" t="s">
        <v>151</v>
      </c>
      <c r="F18" s="8"/>
    </row>
    <row r="19">
      <c r="A19" s="2" t="s">
        <v>113</v>
      </c>
      <c r="B19" s="10"/>
      <c r="C19" s="61">
        <v>3500.0</v>
      </c>
      <c r="D19" s="9" t="s">
        <v>117</v>
      </c>
      <c r="E19" s="2" t="str">
        <f>A17</f>
        <v>Not Paid</v>
      </c>
      <c r="F19" s="3">
        <f>C33</f>
        <v>20000</v>
      </c>
    </row>
    <row r="20">
      <c r="A20" s="2" t="s">
        <v>32</v>
      </c>
      <c r="B20" s="10"/>
      <c r="C20" s="8">
        <v>2900.0</v>
      </c>
      <c r="D20" s="9" t="s">
        <v>117</v>
      </c>
      <c r="E20" s="2" t="s">
        <v>148</v>
      </c>
      <c r="F20" s="60"/>
    </row>
    <row r="21">
      <c r="A21" s="2" t="s">
        <v>111</v>
      </c>
      <c r="B21" s="10"/>
      <c r="C21" s="61">
        <v>2000.0</v>
      </c>
      <c r="D21" s="9" t="s">
        <v>158</v>
      </c>
      <c r="E21" s="2" t="s">
        <v>17</v>
      </c>
      <c r="F21" s="3">
        <f>SUM(F16:F20)</f>
        <v>107950</v>
      </c>
    </row>
    <row r="22">
      <c r="A22" s="2" t="s">
        <v>159</v>
      </c>
      <c r="B22" s="10"/>
      <c r="C22" s="8">
        <f>(600*3)+500</f>
        <v>2300</v>
      </c>
      <c r="D22" s="9" t="s">
        <v>155</v>
      </c>
      <c r="E22" s="9" t="s">
        <v>152</v>
      </c>
      <c r="F22" s="57">
        <f>F11-F21</f>
        <v>1800</v>
      </c>
    </row>
    <row r="23">
      <c r="A23" s="2" t="s">
        <v>160</v>
      </c>
      <c r="B23" s="10"/>
      <c r="C23" s="8">
        <v>2200.0</v>
      </c>
    </row>
    <row r="24">
      <c r="A24" s="2" t="s">
        <v>161</v>
      </c>
      <c r="B24" s="10"/>
      <c r="C24" s="8">
        <v>2900.0</v>
      </c>
      <c r="D24" s="9" t="s">
        <v>155</v>
      </c>
    </row>
    <row r="25">
      <c r="A25" s="2" t="s">
        <v>162</v>
      </c>
      <c r="B25" s="10"/>
      <c r="C25" s="8">
        <v>2900.0</v>
      </c>
      <c r="D25" s="9" t="s">
        <v>155</v>
      </c>
    </row>
    <row r="26">
      <c r="A26" s="2" t="s">
        <v>163</v>
      </c>
      <c r="B26" s="10"/>
      <c r="C26" s="8">
        <v>1300.0</v>
      </c>
      <c r="D26" s="9" t="s">
        <v>164</v>
      </c>
    </row>
    <row r="27">
      <c r="A27" s="2"/>
      <c r="B27" s="10"/>
      <c r="C27" s="8"/>
    </row>
    <row r="28">
      <c r="A28" s="2"/>
      <c r="B28" s="10"/>
      <c r="C28" s="8"/>
    </row>
    <row r="29">
      <c r="A29" s="2"/>
      <c r="B29" s="10"/>
      <c r="C29" s="8"/>
    </row>
    <row r="30">
      <c r="A30" s="2"/>
      <c r="B30" s="10"/>
      <c r="C30" s="8"/>
    </row>
    <row r="31">
      <c r="A31" s="2"/>
      <c r="B31" s="10"/>
      <c r="C31" s="8"/>
    </row>
    <row r="32">
      <c r="A32" s="2"/>
      <c r="B32" s="10"/>
      <c r="C32" s="8"/>
    </row>
    <row r="33">
      <c r="A33" s="2"/>
      <c r="B33" s="10"/>
      <c r="C33" s="8">
        <f>SUM(C18:C32)</f>
        <v>20000</v>
      </c>
    </row>
    <row r="34">
      <c r="C34" s="55"/>
    </row>
    <row r="39">
      <c r="B39" s="16"/>
    </row>
    <row r="42">
      <c r="B42" s="16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75"/>
    <col customWidth="1" min="5" max="5" width="14.0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>
      <c r="A3" s="2" t="s">
        <v>5</v>
      </c>
      <c r="B3" s="2">
        <v>25.0</v>
      </c>
      <c r="C3" s="2">
        <v>400.0</v>
      </c>
      <c r="D3" s="3">
        <f t="shared" ref="D3:D10" si="1">B3*C3</f>
        <v>10000</v>
      </c>
      <c r="E3" s="2">
        <v>450.0</v>
      </c>
      <c r="F3" s="3">
        <f t="shared" ref="F3:F10" si="2">B3*E3</f>
        <v>11250</v>
      </c>
    </row>
    <row r="4">
      <c r="A4" s="2" t="s">
        <v>6</v>
      </c>
      <c r="B4" s="2">
        <v>25.0</v>
      </c>
      <c r="C4" s="2">
        <v>500.0</v>
      </c>
      <c r="D4" s="3">
        <f t="shared" si="1"/>
        <v>12500</v>
      </c>
      <c r="E4" s="2">
        <v>700.0</v>
      </c>
      <c r="F4" s="3">
        <f t="shared" si="2"/>
        <v>17500</v>
      </c>
    </row>
    <row r="5">
      <c r="A5" s="2" t="s">
        <v>7</v>
      </c>
      <c r="B5" s="2">
        <f>30-6</f>
        <v>24</v>
      </c>
      <c r="C5" s="2">
        <v>450.0</v>
      </c>
      <c r="D5" s="3">
        <f t="shared" si="1"/>
        <v>10800</v>
      </c>
      <c r="E5" s="2">
        <v>500.0</v>
      </c>
      <c r="F5" s="3">
        <f t="shared" si="2"/>
        <v>12000</v>
      </c>
    </row>
    <row r="6">
      <c r="A6" s="2" t="s">
        <v>150</v>
      </c>
      <c r="B6" s="2"/>
      <c r="C6" s="2">
        <v>900.0</v>
      </c>
      <c r="D6" s="3">
        <f t="shared" si="1"/>
        <v>0</v>
      </c>
      <c r="E6" s="2">
        <v>1000.0</v>
      </c>
      <c r="F6" s="3">
        <f t="shared" si="2"/>
        <v>0</v>
      </c>
    </row>
    <row r="7">
      <c r="A7" s="2" t="s">
        <v>9</v>
      </c>
      <c r="B7" s="2">
        <v>20.0</v>
      </c>
      <c r="C7" s="2">
        <v>800.0</v>
      </c>
      <c r="D7" s="3">
        <f t="shared" si="1"/>
        <v>16000</v>
      </c>
      <c r="E7" s="2">
        <v>1000.0</v>
      </c>
      <c r="F7" s="3">
        <f t="shared" si="2"/>
        <v>20000</v>
      </c>
    </row>
    <row r="8">
      <c r="A8" s="2" t="s">
        <v>10</v>
      </c>
      <c r="B8" s="2">
        <v>20.0</v>
      </c>
      <c r="C8" s="2">
        <v>700.0</v>
      </c>
      <c r="D8" s="3">
        <f t="shared" si="1"/>
        <v>14000</v>
      </c>
      <c r="E8" s="2">
        <v>800.0</v>
      </c>
      <c r="F8" s="3">
        <f t="shared" si="2"/>
        <v>16000</v>
      </c>
    </row>
    <row r="9">
      <c r="A9" s="2" t="s">
        <v>124</v>
      </c>
      <c r="B9" s="2">
        <v>15.0</v>
      </c>
      <c r="C9" s="2">
        <f>3500/7</f>
        <v>500</v>
      </c>
      <c r="D9" s="3">
        <f t="shared" si="1"/>
        <v>7500</v>
      </c>
      <c r="E9" s="2">
        <v>600.0</v>
      </c>
      <c r="F9" s="3">
        <f t="shared" si="2"/>
        <v>9000</v>
      </c>
    </row>
    <row r="10">
      <c r="A10" s="2" t="s">
        <v>11</v>
      </c>
      <c r="B10" s="2"/>
      <c r="C10" s="2">
        <v>300.0</v>
      </c>
      <c r="D10" s="3">
        <f t="shared" si="1"/>
        <v>0</v>
      </c>
      <c r="E10" s="2">
        <v>500.0</v>
      </c>
      <c r="F10" s="3">
        <f t="shared" si="2"/>
        <v>0</v>
      </c>
    </row>
    <row r="11">
      <c r="D11" s="4">
        <f>SUM(D3:D10)</f>
        <v>70800</v>
      </c>
      <c r="F11" s="4">
        <f>SUM(F3:F10)</f>
        <v>85750</v>
      </c>
    </row>
    <row r="12">
      <c r="E12" s="5" t="s">
        <v>141</v>
      </c>
      <c r="F12" s="59"/>
    </row>
    <row r="13">
      <c r="E13" s="5" t="s">
        <v>12</v>
      </c>
      <c r="F13" s="6">
        <f>F11-D11-F12</f>
        <v>14950</v>
      </c>
    </row>
    <row r="14">
      <c r="E14" s="7"/>
    </row>
    <row r="15">
      <c r="E15" s="7" t="s">
        <v>13</v>
      </c>
    </row>
    <row r="16">
      <c r="E16" s="2" t="s">
        <v>14</v>
      </c>
      <c r="F16" s="8">
        <f>71600</f>
        <v>71600</v>
      </c>
    </row>
    <row r="17">
      <c r="A17" s="7" t="s">
        <v>19</v>
      </c>
      <c r="E17" s="2" t="s">
        <v>33</v>
      </c>
      <c r="F17" s="8">
        <v>8000.0</v>
      </c>
    </row>
    <row r="18">
      <c r="A18" s="2" t="s">
        <v>113</v>
      </c>
      <c r="B18" s="10"/>
      <c r="C18" s="61">
        <v>3500.0</v>
      </c>
      <c r="D18" s="9" t="s">
        <v>117</v>
      </c>
      <c r="E18" s="2" t="s">
        <v>151</v>
      </c>
      <c r="F18" s="8"/>
    </row>
    <row r="19">
      <c r="A19" s="2" t="s">
        <v>165</v>
      </c>
      <c r="B19" s="10"/>
      <c r="C19" s="61">
        <v>2300.0</v>
      </c>
      <c r="D19" s="9" t="s">
        <v>155</v>
      </c>
      <c r="E19" s="2" t="str">
        <f>A17</f>
        <v>Not Paid</v>
      </c>
      <c r="F19" s="3">
        <f>C33</f>
        <v>5800</v>
      </c>
    </row>
    <row r="20">
      <c r="A20" s="2"/>
      <c r="B20" s="10"/>
      <c r="C20" s="8"/>
      <c r="E20" s="2" t="s">
        <v>148</v>
      </c>
      <c r="F20" s="60"/>
    </row>
    <row r="21">
      <c r="A21" s="2"/>
      <c r="B21" s="10"/>
      <c r="C21" s="8"/>
      <c r="E21" s="2" t="s">
        <v>17</v>
      </c>
      <c r="F21" s="3">
        <f>SUM(F16:F20)</f>
        <v>85400</v>
      </c>
    </row>
    <row r="22">
      <c r="A22" s="2"/>
      <c r="B22" s="10"/>
      <c r="C22" s="8"/>
      <c r="E22" s="9" t="s">
        <v>152</v>
      </c>
      <c r="F22" s="57">
        <f>F11-F21</f>
        <v>350</v>
      </c>
    </row>
    <row r="23">
      <c r="A23" s="2"/>
      <c r="B23" s="10"/>
      <c r="C23" s="8"/>
    </row>
    <row r="24">
      <c r="A24" s="2"/>
      <c r="B24" s="10"/>
      <c r="C24" s="8"/>
    </row>
    <row r="25">
      <c r="A25" s="2"/>
      <c r="B25" s="10"/>
      <c r="C25" s="8"/>
    </row>
    <row r="26">
      <c r="A26" s="2"/>
      <c r="B26" s="10"/>
      <c r="C26" s="8"/>
    </row>
    <row r="27">
      <c r="A27" s="2"/>
      <c r="B27" s="10"/>
      <c r="C27" s="8"/>
    </row>
    <row r="28">
      <c r="A28" s="2"/>
      <c r="B28" s="10"/>
      <c r="C28" s="8"/>
    </row>
    <row r="29">
      <c r="A29" s="2"/>
      <c r="B29" s="10"/>
      <c r="C29" s="8"/>
    </row>
    <row r="30">
      <c r="A30" s="2"/>
      <c r="B30" s="10"/>
      <c r="C30" s="8"/>
    </row>
    <row r="31">
      <c r="A31" s="2"/>
      <c r="B31" s="10"/>
      <c r="C31" s="8"/>
    </row>
    <row r="32">
      <c r="A32" s="2"/>
      <c r="B32" s="10"/>
      <c r="C32" s="8"/>
    </row>
    <row r="33">
      <c r="A33" s="2"/>
      <c r="B33" s="10"/>
      <c r="C33" s="8">
        <f>SUM(C18:C32)</f>
        <v>5800</v>
      </c>
    </row>
    <row r="34">
      <c r="C34" s="55"/>
    </row>
    <row r="39">
      <c r="B39" s="16"/>
    </row>
    <row r="42">
      <c r="B42" s="16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75"/>
    <col customWidth="1" min="5" max="5" width="14.0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>
      <c r="A3" s="2" t="s">
        <v>5</v>
      </c>
      <c r="B3" s="2">
        <v>25.0</v>
      </c>
      <c r="C3" s="2">
        <v>400.0</v>
      </c>
      <c r="D3" s="3">
        <f t="shared" ref="D3:D10" si="1">B3*C3</f>
        <v>10000</v>
      </c>
      <c r="E3" s="2">
        <v>450.0</v>
      </c>
      <c r="F3" s="3">
        <f t="shared" ref="F3:F10" si="2">B3*E3</f>
        <v>11250</v>
      </c>
    </row>
    <row r="4">
      <c r="A4" s="2" t="s">
        <v>6</v>
      </c>
      <c r="B4" s="2">
        <v>25.0</v>
      </c>
      <c r="C4" s="2">
        <v>500.0</v>
      </c>
      <c r="D4" s="3">
        <f t="shared" si="1"/>
        <v>12500</v>
      </c>
      <c r="E4" s="2">
        <v>700.0</v>
      </c>
      <c r="F4" s="3">
        <f t="shared" si="2"/>
        <v>17500</v>
      </c>
    </row>
    <row r="5">
      <c r="A5" s="2" t="s">
        <v>7</v>
      </c>
      <c r="B5" s="2">
        <f>30</f>
        <v>30</v>
      </c>
      <c r="C5" s="2">
        <v>450.0</v>
      </c>
      <c r="D5" s="3">
        <f t="shared" si="1"/>
        <v>13500</v>
      </c>
      <c r="E5" s="2">
        <v>500.0</v>
      </c>
      <c r="F5" s="3">
        <f t="shared" si="2"/>
        <v>15000</v>
      </c>
    </row>
    <row r="6">
      <c r="A6" s="2" t="s">
        <v>150</v>
      </c>
      <c r="B6" s="2"/>
      <c r="C6" s="2">
        <v>900.0</v>
      </c>
      <c r="D6" s="3">
        <f t="shared" si="1"/>
        <v>0</v>
      </c>
      <c r="E6" s="2">
        <v>1000.0</v>
      </c>
      <c r="F6" s="3">
        <f t="shared" si="2"/>
        <v>0</v>
      </c>
    </row>
    <row r="7">
      <c r="A7" s="2" t="s">
        <v>9</v>
      </c>
      <c r="B7" s="2">
        <v>20.0</v>
      </c>
      <c r="C7" s="2">
        <v>800.0</v>
      </c>
      <c r="D7" s="3">
        <f t="shared" si="1"/>
        <v>16000</v>
      </c>
      <c r="E7" s="2">
        <v>1000.0</v>
      </c>
      <c r="F7" s="3">
        <f t="shared" si="2"/>
        <v>20000</v>
      </c>
    </row>
    <row r="8">
      <c r="A8" s="2" t="s">
        <v>10</v>
      </c>
      <c r="B8" s="2">
        <v>20.0</v>
      </c>
      <c r="C8" s="2">
        <v>700.0</v>
      </c>
      <c r="D8" s="3">
        <f t="shared" si="1"/>
        <v>14000</v>
      </c>
      <c r="E8" s="2">
        <v>800.0</v>
      </c>
      <c r="F8" s="3">
        <f t="shared" si="2"/>
        <v>16000</v>
      </c>
    </row>
    <row r="9">
      <c r="A9" s="2" t="s">
        <v>124</v>
      </c>
      <c r="B9" s="2">
        <v>15.0</v>
      </c>
      <c r="C9" s="2">
        <f>3500/7</f>
        <v>500</v>
      </c>
      <c r="D9" s="3">
        <f t="shared" si="1"/>
        <v>7500</v>
      </c>
      <c r="E9" s="2">
        <v>600.0</v>
      </c>
      <c r="F9" s="3">
        <f t="shared" si="2"/>
        <v>9000</v>
      </c>
    </row>
    <row r="10">
      <c r="A10" s="2" t="s">
        <v>11</v>
      </c>
      <c r="B10" s="2">
        <v>60.0</v>
      </c>
      <c r="C10" s="2">
        <v>300.0</v>
      </c>
      <c r="D10" s="3">
        <f t="shared" si="1"/>
        <v>18000</v>
      </c>
      <c r="E10" s="2">
        <v>500.0</v>
      </c>
      <c r="F10" s="3">
        <f t="shared" si="2"/>
        <v>30000</v>
      </c>
    </row>
    <row r="11">
      <c r="D11" s="4">
        <f>SUM(D3:D10)</f>
        <v>91500</v>
      </c>
      <c r="F11" s="4">
        <f>SUM(F3:F10)</f>
        <v>118750</v>
      </c>
    </row>
    <row r="12">
      <c r="E12" s="5" t="s">
        <v>141</v>
      </c>
      <c r="F12" s="59"/>
    </row>
    <row r="13">
      <c r="E13" s="5" t="s">
        <v>12</v>
      </c>
      <c r="F13" s="6">
        <f>F11-D11-F12</f>
        <v>27250</v>
      </c>
    </row>
    <row r="14">
      <c r="E14" s="7"/>
    </row>
    <row r="15">
      <c r="E15" s="7" t="s">
        <v>13</v>
      </c>
    </row>
    <row r="16">
      <c r="E16" s="2" t="s">
        <v>14</v>
      </c>
      <c r="F16" s="8">
        <f>104000</f>
        <v>104000</v>
      </c>
    </row>
    <row r="17">
      <c r="A17" s="7" t="s">
        <v>19</v>
      </c>
      <c r="E17" s="2" t="s">
        <v>33</v>
      </c>
      <c r="F17" s="8">
        <v>5500.0</v>
      </c>
    </row>
    <row r="18">
      <c r="A18" s="2" t="s">
        <v>32</v>
      </c>
      <c r="B18" s="10"/>
      <c r="C18" s="8">
        <v>2700.0</v>
      </c>
      <c r="D18" s="9" t="s">
        <v>117</v>
      </c>
      <c r="E18" s="2" t="s">
        <v>116</v>
      </c>
      <c r="F18" s="3">
        <f>500*5</f>
        <v>2500</v>
      </c>
    </row>
    <row r="19">
      <c r="A19" s="2" t="s">
        <v>111</v>
      </c>
      <c r="B19" s="10"/>
      <c r="C19" s="8">
        <v>1300.0</v>
      </c>
      <c r="D19" s="9" t="s">
        <v>158</v>
      </c>
      <c r="E19" s="2" t="s">
        <v>151</v>
      </c>
      <c r="F19" s="8"/>
    </row>
    <row r="20">
      <c r="A20" s="2" t="s">
        <v>166</v>
      </c>
      <c r="B20" s="10"/>
      <c r="C20" s="8">
        <v>1500.0</v>
      </c>
      <c r="E20" s="2" t="str">
        <f>A17</f>
        <v>Not Paid</v>
      </c>
      <c r="F20" s="3">
        <f>C33</f>
        <v>5500</v>
      </c>
    </row>
    <row r="21">
      <c r="A21" s="2"/>
      <c r="B21" s="10"/>
      <c r="C21" s="8"/>
      <c r="E21" s="2" t="s">
        <v>148</v>
      </c>
      <c r="F21" s="60"/>
    </row>
    <row r="22">
      <c r="A22" s="2"/>
      <c r="B22" s="10"/>
      <c r="C22" s="8"/>
      <c r="E22" s="2" t="s">
        <v>17</v>
      </c>
      <c r="F22" s="3">
        <f>SUM(F16:F21)</f>
        <v>117500</v>
      </c>
    </row>
    <row r="23">
      <c r="A23" s="2"/>
      <c r="B23" s="10"/>
      <c r="C23" s="8"/>
      <c r="E23" s="9" t="s">
        <v>152</v>
      </c>
      <c r="F23" s="57">
        <f>F11-F22</f>
        <v>1250</v>
      </c>
    </row>
    <row r="24">
      <c r="A24" s="2"/>
      <c r="B24" s="10"/>
      <c r="C24" s="8"/>
    </row>
    <row r="25">
      <c r="A25" s="2"/>
      <c r="B25" s="10"/>
      <c r="C25" s="8"/>
    </row>
    <row r="26">
      <c r="A26" s="2"/>
      <c r="B26" s="10"/>
      <c r="C26" s="8"/>
    </row>
    <row r="27">
      <c r="A27" s="2"/>
      <c r="B27" s="10"/>
      <c r="C27" s="8"/>
    </row>
    <row r="28">
      <c r="A28" s="2"/>
      <c r="B28" s="10"/>
      <c r="C28" s="8"/>
    </row>
    <row r="29">
      <c r="A29" s="2"/>
      <c r="B29" s="10"/>
      <c r="C29" s="8"/>
    </row>
    <row r="30">
      <c r="A30" s="2"/>
      <c r="B30" s="10"/>
      <c r="C30" s="8"/>
    </row>
    <row r="31">
      <c r="A31" s="2"/>
      <c r="B31" s="10"/>
      <c r="C31" s="8"/>
    </row>
    <row r="32">
      <c r="A32" s="2"/>
      <c r="B32" s="10"/>
      <c r="C32" s="8"/>
    </row>
    <row r="33">
      <c r="A33" s="2"/>
      <c r="B33" s="10"/>
      <c r="C33" s="8">
        <f>SUM(C18:C32)</f>
        <v>5500</v>
      </c>
    </row>
    <row r="34">
      <c r="C34" s="55"/>
    </row>
    <row r="39">
      <c r="B39" s="16"/>
    </row>
    <row r="42">
      <c r="B42" s="16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75"/>
    <col customWidth="1" min="5" max="5" width="14.0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>
      <c r="A3" s="2" t="s">
        <v>5</v>
      </c>
      <c r="B3" s="2">
        <v>25.0</v>
      </c>
      <c r="C3" s="2">
        <v>400.0</v>
      </c>
      <c r="D3" s="3">
        <f t="shared" ref="D3:D10" si="1">B3*C3</f>
        <v>10000</v>
      </c>
      <c r="E3" s="2">
        <v>450.0</v>
      </c>
      <c r="F3" s="3">
        <f t="shared" ref="F3:F10" si="2">B3*E3</f>
        <v>11250</v>
      </c>
    </row>
    <row r="4">
      <c r="A4" s="2" t="s">
        <v>6</v>
      </c>
      <c r="B4" s="2">
        <v>25.0</v>
      </c>
      <c r="C4" s="2">
        <v>500.0</v>
      </c>
      <c r="D4" s="3">
        <f t="shared" si="1"/>
        <v>12500</v>
      </c>
      <c r="E4" s="2">
        <v>700.0</v>
      </c>
      <c r="F4" s="3">
        <f t="shared" si="2"/>
        <v>17500</v>
      </c>
    </row>
    <row r="5">
      <c r="A5" s="2" t="s">
        <v>7</v>
      </c>
      <c r="B5" s="2">
        <f>30</f>
        <v>30</v>
      </c>
      <c r="C5" s="2">
        <v>450.0</v>
      </c>
      <c r="D5" s="3">
        <f t="shared" si="1"/>
        <v>13500</v>
      </c>
      <c r="E5" s="2">
        <v>500.0</v>
      </c>
      <c r="F5" s="3">
        <f t="shared" si="2"/>
        <v>15000</v>
      </c>
    </row>
    <row r="6">
      <c r="A6" s="2" t="s">
        <v>150</v>
      </c>
      <c r="B6" s="2"/>
      <c r="C6" s="2">
        <v>900.0</v>
      </c>
      <c r="D6" s="3">
        <f t="shared" si="1"/>
        <v>0</v>
      </c>
      <c r="E6" s="2">
        <v>1000.0</v>
      </c>
      <c r="F6" s="3">
        <f t="shared" si="2"/>
        <v>0</v>
      </c>
    </row>
    <row r="7">
      <c r="A7" s="2" t="s">
        <v>9</v>
      </c>
      <c r="B7" s="2">
        <v>20.0</v>
      </c>
      <c r="C7" s="2">
        <v>800.0</v>
      </c>
      <c r="D7" s="3">
        <f t="shared" si="1"/>
        <v>16000</v>
      </c>
      <c r="E7" s="2">
        <v>1000.0</v>
      </c>
      <c r="F7" s="3">
        <f t="shared" si="2"/>
        <v>20000</v>
      </c>
    </row>
    <row r="8">
      <c r="A8" s="2" t="s">
        <v>10</v>
      </c>
      <c r="B8" s="2">
        <v>20.0</v>
      </c>
      <c r="C8" s="2">
        <v>700.0</v>
      </c>
      <c r="D8" s="3">
        <f t="shared" si="1"/>
        <v>14000</v>
      </c>
      <c r="E8" s="2">
        <v>800.0</v>
      </c>
      <c r="F8" s="3">
        <f t="shared" si="2"/>
        <v>16000</v>
      </c>
    </row>
    <row r="9">
      <c r="A9" s="2" t="s">
        <v>124</v>
      </c>
      <c r="B9" s="2">
        <v>15.0</v>
      </c>
      <c r="C9" s="2">
        <f>3500/7</f>
        <v>500</v>
      </c>
      <c r="D9" s="3">
        <f t="shared" si="1"/>
        <v>7500</v>
      </c>
      <c r="E9" s="2">
        <v>600.0</v>
      </c>
      <c r="F9" s="3">
        <f t="shared" si="2"/>
        <v>9000</v>
      </c>
    </row>
    <row r="10">
      <c r="A10" s="2" t="s">
        <v>11</v>
      </c>
      <c r="B10" s="2">
        <v>60.0</v>
      </c>
      <c r="C10" s="2">
        <v>300.0</v>
      </c>
      <c r="D10" s="3">
        <f t="shared" si="1"/>
        <v>18000</v>
      </c>
      <c r="E10" s="2">
        <v>500.0</v>
      </c>
      <c r="F10" s="3">
        <f t="shared" si="2"/>
        <v>30000</v>
      </c>
    </row>
    <row r="11">
      <c r="D11" s="4">
        <f>SUM(D3:D10)</f>
        <v>91500</v>
      </c>
      <c r="F11" s="4">
        <f>SUM(F3:F10)</f>
        <v>118750</v>
      </c>
    </row>
    <row r="12">
      <c r="E12" s="5" t="s">
        <v>141</v>
      </c>
      <c r="F12" s="59"/>
    </row>
    <row r="13">
      <c r="E13" s="5" t="s">
        <v>12</v>
      </c>
      <c r="F13" s="6">
        <f>F11-D11-F12</f>
        <v>27250</v>
      </c>
    </row>
    <row r="14">
      <c r="E14" s="7"/>
    </row>
    <row r="15">
      <c r="E15" s="7" t="s">
        <v>13</v>
      </c>
    </row>
    <row r="16">
      <c r="E16" s="2" t="s">
        <v>14</v>
      </c>
      <c r="F16" s="8">
        <v>86100.0</v>
      </c>
    </row>
    <row r="17">
      <c r="A17" s="7" t="s">
        <v>19</v>
      </c>
      <c r="E17" s="2" t="s">
        <v>167</v>
      </c>
      <c r="F17" s="8"/>
    </row>
    <row r="18">
      <c r="A18" s="2" t="s">
        <v>32</v>
      </c>
      <c r="B18" s="10"/>
      <c r="C18" s="8">
        <v>1000.0</v>
      </c>
      <c r="D18" s="9" t="s">
        <v>117</v>
      </c>
      <c r="E18" s="2" t="s">
        <v>116</v>
      </c>
      <c r="F18" s="3">
        <f>500*7</f>
        <v>3500</v>
      </c>
    </row>
    <row r="19">
      <c r="A19" s="2" t="s">
        <v>111</v>
      </c>
      <c r="B19" s="10"/>
      <c r="C19" s="8">
        <v>2100.0</v>
      </c>
      <c r="D19" s="9" t="s">
        <v>158</v>
      </c>
      <c r="E19" s="2" t="s">
        <v>168</v>
      </c>
      <c r="F19" s="8">
        <v>2100.0</v>
      </c>
    </row>
    <row r="20">
      <c r="A20" s="2" t="s">
        <v>37</v>
      </c>
      <c r="B20" s="10"/>
      <c r="C20" s="8">
        <v>3300.0</v>
      </c>
      <c r="E20" s="2" t="str">
        <f>A17</f>
        <v>Not Paid</v>
      </c>
      <c r="F20" s="3">
        <f>C33</f>
        <v>29000</v>
      </c>
    </row>
    <row r="21">
      <c r="A21" s="2" t="s">
        <v>169</v>
      </c>
      <c r="B21" s="10"/>
      <c r="C21" s="8">
        <v>500.0</v>
      </c>
      <c r="E21" s="2"/>
      <c r="F21" s="60"/>
    </row>
    <row r="22">
      <c r="A22" s="2" t="s">
        <v>154</v>
      </c>
      <c r="B22" s="10"/>
      <c r="C22" s="8">
        <v>3000.0</v>
      </c>
      <c r="D22" s="9" t="s">
        <v>117</v>
      </c>
      <c r="E22" s="2" t="s">
        <v>17</v>
      </c>
      <c r="F22" s="3">
        <f>SUM(F16:F21)</f>
        <v>120700</v>
      </c>
    </row>
    <row r="23">
      <c r="A23" s="2" t="s">
        <v>170</v>
      </c>
      <c r="B23" s="10"/>
      <c r="C23" s="8">
        <v>3500.0</v>
      </c>
      <c r="D23" s="9" t="s">
        <v>117</v>
      </c>
      <c r="E23" s="9" t="s">
        <v>152</v>
      </c>
      <c r="F23" s="57">
        <f>F11-F22</f>
        <v>-1950</v>
      </c>
    </row>
    <row r="24">
      <c r="A24" s="2" t="s">
        <v>113</v>
      </c>
      <c r="B24" s="10"/>
      <c r="C24" s="8">
        <v>5000.0</v>
      </c>
      <c r="D24" s="9" t="s">
        <v>117</v>
      </c>
    </row>
    <row r="25">
      <c r="A25" s="2" t="s">
        <v>28</v>
      </c>
      <c r="B25" s="10"/>
      <c r="C25" s="8">
        <v>2000.0</v>
      </c>
      <c r="D25" s="9" t="s">
        <v>117</v>
      </c>
    </row>
    <row r="26">
      <c r="A26" s="2" t="s">
        <v>171</v>
      </c>
      <c r="B26" s="10"/>
      <c r="C26" s="8">
        <v>3300.0</v>
      </c>
      <c r="D26" s="9" t="s">
        <v>117</v>
      </c>
    </row>
    <row r="27">
      <c r="A27" s="2" t="s">
        <v>38</v>
      </c>
      <c r="B27" s="10"/>
      <c r="C27" s="8">
        <v>2300.0</v>
      </c>
      <c r="D27" s="9" t="s">
        <v>117</v>
      </c>
    </row>
    <row r="28">
      <c r="A28" s="2" t="s">
        <v>172</v>
      </c>
      <c r="B28" s="10"/>
      <c r="C28" s="8">
        <v>3000.0</v>
      </c>
      <c r="D28" s="9" t="s">
        <v>117</v>
      </c>
    </row>
    <row r="29">
      <c r="A29" s="2"/>
      <c r="B29" s="10"/>
      <c r="C29" s="8"/>
    </row>
    <row r="30">
      <c r="A30" s="2"/>
      <c r="B30" s="10"/>
      <c r="C30" s="8"/>
    </row>
    <row r="31">
      <c r="A31" s="2"/>
      <c r="B31" s="10"/>
      <c r="C31" s="8"/>
    </row>
    <row r="32">
      <c r="A32" s="2"/>
      <c r="B32" s="10"/>
      <c r="C32" s="8"/>
    </row>
    <row r="33">
      <c r="A33" s="2"/>
      <c r="B33" s="10"/>
      <c r="C33" s="8">
        <f>SUM(C18:C32)</f>
        <v>29000</v>
      </c>
    </row>
    <row r="34">
      <c r="C34" s="55"/>
    </row>
    <row r="37">
      <c r="F37" s="9">
        <v>89100.0</v>
      </c>
    </row>
    <row r="39">
      <c r="B39" s="16"/>
    </row>
    <row r="42">
      <c r="B42" s="16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75"/>
    <col customWidth="1" min="5" max="5" width="14.0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>
      <c r="A3" s="2" t="s">
        <v>5</v>
      </c>
      <c r="B3" s="2">
        <v>25.0</v>
      </c>
      <c r="C3" s="2">
        <v>400.0</v>
      </c>
      <c r="D3" s="3">
        <f t="shared" ref="D3:D10" si="1">B3*C3</f>
        <v>10000</v>
      </c>
      <c r="E3" s="2">
        <v>450.0</v>
      </c>
      <c r="F3" s="3">
        <f t="shared" ref="F3:F10" si="2">B3*E3</f>
        <v>11250</v>
      </c>
    </row>
    <row r="4">
      <c r="A4" s="2" t="s">
        <v>6</v>
      </c>
      <c r="B4" s="2">
        <v>25.0</v>
      </c>
      <c r="C4" s="2">
        <v>500.0</v>
      </c>
      <c r="D4" s="3">
        <f t="shared" si="1"/>
        <v>12500</v>
      </c>
      <c r="E4" s="2">
        <v>700.0</v>
      </c>
      <c r="F4" s="3">
        <f t="shared" si="2"/>
        <v>17500</v>
      </c>
    </row>
    <row r="5">
      <c r="A5" s="2" t="s">
        <v>7</v>
      </c>
      <c r="B5" s="2">
        <f>30</f>
        <v>30</v>
      </c>
      <c r="C5" s="2">
        <v>450.0</v>
      </c>
      <c r="D5" s="3">
        <f t="shared" si="1"/>
        <v>13500</v>
      </c>
      <c r="E5" s="2">
        <v>500.0</v>
      </c>
      <c r="F5" s="3">
        <f t="shared" si="2"/>
        <v>15000</v>
      </c>
    </row>
    <row r="6">
      <c r="A6" s="2" t="s">
        <v>150</v>
      </c>
      <c r="B6" s="2"/>
      <c r="C6" s="2">
        <v>900.0</v>
      </c>
      <c r="D6" s="3">
        <f t="shared" si="1"/>
        <v>0</v>
      </c>
      <c r="E6" s="2">
        <v>1000.0</v>
      </c>
      <c r="F6" s="3">
        <f t="shared" si="2"/>
        <v>0</v>
      </c>
    </row>
    <row r="7">
      <c r="A7" s="2" t="s">
        <v>9</v>
      </c>
      <c r="B7" s="2">
        <v>20.0</v>
      </c>
      <c r="C7" s="2">
        <v>800.0</v>
      </c>
      <c r="D7" s="3">
        <f t="shared" si="1"/>
        <v>16000</v>
      </c>
      <c r="E7" s="2">
        <v>1000.0</v>
      </c>
      <c r="F7" s="3">
        <f t="shared" si="2"/>
        <v>20000</v>
      </c>
    </row>
    <row r="8">
      <c r="A8" s="2" t="s">
        <v>10</v>
      </c>
      <c r="B8" s="2">
        <v>20.0</v>
      </c>
      <c r="C8" s="2">
        <v>700.0</v>
      </c>
      <c r="D8" s="3">
        <f t="shared" si="1"/>
        <v>14000</v>
      </c>
      <c r="E8" s="2">
        <v>800.0</v>
      </c>
      <c r="F8" s="3">
        <f t="shared" si="2"/>
        <v>16000</v>
      </c>
    </row>
    <row r="9">
      <c r="A9" s="2" t="s">
        <v>124</v>
      </c>
      <c r="B9" s="2">
        <v>15.0</v>
      </c>
      <c r="C9" s="2">
        <f>3500/7</f>
        <v>500</v>
      </c>
      <c r="D9" s="3">
        <f t="shared" si="1"/>
        <v>7500</v>
      </c>
      <c r="E9" s="2">
        <v>600.0</v>
      </c>
      <c r="F9" s="3">
        <f t="shared" si="2"/>
        <v>9000</v>
      </c>
    </row>
    <row r="10">
      <c r="A10" s="2" t="s">
        <v>11</v>
      </c>
      <c r="B10" s="2">
        <v>48.0</v>
      </c>
      <c r="C10" s="2">
        <v>300.0</v>
      </c>
      <c r="D10" s="3">
        <f t="shared" si="1"/>
        <v>14400</v>
      </c>
      <c r="E10" s="2">
        <v>500.0</v>
      </c>
      <c r="F10" s="3">
        <f t="shared" si="2"/>
        <v>24000</v>
      </c>
    </row>
    <row r="11">
      <c r="D11" s="4">
        <f>SUM(D3:D10)</f>
        <v>87900</v>
      </c>
      <c r="F11" s="4">
        <f>SUM(F3:F10)</f>
        <v>112750</v>
      </c>
    </row>
    <row r="12">
      <c r="E12" s="5" t="s">
        <v>141</v>
      </c>
      <c r="F12" s="59">
        <f>2600+(540*2)</f>
        <v>3680</v>
      </c>
    </row>
    <row r="13">
      <c r="E13" s="5" t="s">
        <v>12</v>
      </c>
      <c r="F13" s="6">
        <f>F11-D11-F12</f>
        <v>21170</v>
      </c>
    </row>
    <row r="14">
      <c r="E14" s="7"/>
    </row>
    <row r="15">
      <c r="E15" s="7" t="s">
        <v>13</v>
      </c>
    </row>
    <row r="16">
      <c r="E16" s="2" t="s">
        <v>14</v>
      </c>
      <c r="F16" s="8">
        <f>87500+2400</f>
        <v>89900</v>
      </c>
    </row>
    <row r="17">
      <c r="A17" s="7" t="s">
        <v>19</v>
      </c>
      <c r="E17" s="2" t="s">
        <v>167</v>
      </c>
      <c r="F17" s="8">
        <v>3300.0</v>
      </c>
    </row>
    <row r="18">
      <c r="A18" s="2" t="s">
        <v>32</v>
      </c>
      <c r="B18" s="10"/>
      <c r="C18" s="8">
        <v>4000.0</v>
      </c>
      <c r="D18" s="9" t="s">
        <v>117</v>
      </c>
      <c r="E18" s="2" t="s">
        <v>116</v>
      </c>
      <c r="F18" s="3">
        <f>500*11</f>
        <v>5500</v>
      </c>
    </row>
    <row r="19">
      <c r="A19" s="2" t="s">
        <v>111</v>
      </c>
      <c r="B19" s="10"/>
      <c r="C19" s="8">
        <v>3100.0</v>
      </c>
      <c r="D19" s="9" t="s">
        <v>158</v>
      </c>
      <c r="E19" s="2" t="s">
        <v>168</v>
      </c>
      <c r="F19" s="8"/>
    </row>
    <row r="20">
      <c r="A20" s="2" t="s">
        <v>37</v>
      </c>
      <c r="B20" s="10"/>
      <c r="C20" s="8">
        <v>1200.0</v>
      </c>
      <c r="E20" s="2" t="str">
        <f>A17</f>
        <v>Not Paid</v>
      </c>
      <c r="F20" s="3">
        <f>C25</f>
        <v>13500</v>
      </c>
    </row>
    <row r="21">
      <c r="A21" s="2" t="s">
        <v>118</v>
      </c>
      <c r="B21" s="10"/>
      <c r="C21" s="8">
        <v>2100.0</v>
      </c>
      <c r="E21" s="2"/>
      <c r="F21" s="60"/>
    </row>
    <row r="22">
      <c r="A22" s="2" t="s">
        <v>173</v>
      </c>
      <c r="B22" s="10"/>
      <c r="C22" s="8">
        <v>1100.0</v>
      </c>
      <c r="E22" s="2" t="s">
        <v>17</v>
      </c>
      <c r="F22" s="3">
        <f>SUM(F16:F21)</f>
        <v>112200</v>
      </c>
    </row>
    <row r="23">
      <c r="A23" s="2" t="s">
        <v>113</v>
      </c>
      <c r="B23" s="10"/>
      <c r="C23" s="8">
        <v>2000.0</v>
      </c>
      <c r="E23" s="9" t="s">
        <v>152</v>
      </c>
      <c r="F23" s="57">
        <f>F11-F22</f>
        <v>550</v>
      </c>
    </row>
    <row r="24">
      <c r="A24" s="2"/>
      <c r="B24" s="10"/>
      <c r="C24" s="8"/>
    </row>
    <row r="25">
      <c r="A25" s="2"/>
      <c r="B25" s="10"/>
      <c r="C25" s="8">
        <f>SUM(C18:C24)</f>
        <v>13500</v>
      </c>
    </row>
    <row r="26">
      <c r="C26" s="55"/>
    </row>
    <row r="31">
      <c r="B31" s="16"/>
    </row>
    <row r="34">
      <c r="B34" s="16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75"/>
    <col customWidth="1" min="5" max="5" width="14.0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>
      <c r="A3" s="2" t="s">
        <v>5</v>
      </c>
      <c r="B3" s="2">
        <v>25.0</v>
      </c>
      <c r="C3" s="2">
        <v>400.0</v>
      </c>
      <c r="D3" s="3">
        <f t="shared" ref="D3:D11" si="1">B3*C3</f>
        <v>10000</v>
      </c>
      <c r="E3" s="2">
        <v>450.0</v>
      </c>
      <c r="F3" s="3">
        <f t="shared" ref="F3:F11" si="2">B3*E3</f>
        <v>11250</v>
      </c>
    </row>
    <row r="4">
      <c r="A4" s="2" t="s">
        <v>6</v>
      </c>
      <c r="B4" s="2">
        <v>25.0</v>
      </c>
      <c r="C4" s="2">
        <v>500.0</v>
      </c>
      <c r="D4" s="3">
        <f t="shared" si="1"/>
        <v>12500</v>
      </c>
      <c r="E4" s="2">
        <v>700.0</v>
      </c>
      <c r="F4" s="3">
        <f t="shared" si="2"/>
        <v>17500</v>
      </c>
    </row>
    <row r="5">
      <c r="A5" s="2" t="s">
        <v>7</v>
      </c>
      <c r="B5" s="2">
        <f>30</f>
        <v>30</v>
      </c>
      <c r="C5" s="2">
        <v>450.0</v>
      </c>
      <c r="D5" s="3">
        <f t="shared" si="1"/>
        <v>13500</v>
      </c>
      <c r="E5" s="2">
        <v>500.0</v>
      </c>
      <c r="F5" s="3">
        <f t="shared" si="2"/>
        <v>15000</v>
      </c>
    </row>
    <row r="6">
      <c r="A6" s="2" t="s">
        <v>150</v>
      </c>
      <c r="B6" s="2"/>
      <c r="C6" s="2">
        <v>900.0</v>
      </c>
      <c r="D6" s="3">
        <f t="shared" si="1"/>
        <v>0</v>
      </c>
      <c r="E6" s="2">
        <v>1000.0</v>
      </c>
      <c r="F6" s="3">
        <f t="shared" si="2"/>
        <v>0</v>
      </c>
    </row>
    <row r="7">
      <c r="A7" s="2" t="s">
        <v>9</v>
      </c>
      <c r="B7" s="2">
        <v>20.0</v>
      </c>
      <c r="C7" s="2">
        <v>800.0</v>
      </c>
      <c r="D7" s="3">
        <f t="shared" si="1"/>
        <v>16000</v>
      </c>
      <c r="E7" s="2">
        <v>1000.0</v>
      </c>
      <c r="F7" s="3">
        <f t="shared" si="2"/>
        <v>20000</v>
      </c>
    </row>
    <row r="8">
      <c r="A8" s="2" t="s">
        <v>10</v>
      </c>
      <c r="B8" s="2">
        <v>20.0</v>
      </c>
      <c r="C8" s="2">
        <v>700.0</v>
      </c>
      <c r="D8" s="3">
        <f t="shared" si="1"/>
        <v>14000</v>
      </c>
      <c r="E8" s="2">
        <v>800.0</v>
      </c>
      <c r="F8" s="3">
        <f t="shared" si="2"/>
        <v>16000</v>
      </c>
    </row>
    <row r="9">
      <c r="A9" s="2" t="s">
        <v>124</v>
      </c>
      <c r="B9" s="2">
        <v>15.0</v>
      </c>
      <c r="C9" s="2">
        <f>3500/7</f>
        <v>500</v>
      </c>
      <c r="D9" s="3">
        <f t="shared" si="1"/>
        <v>7500</v>
      </c>
      <c r="E9" s="2">
        <v>600.0</v>
      </c>
      <c r="F9" s="3">
        <f t="shared" si="2"/>
        <v>9000</v>
      </c>
    </row>
    <row r="10">
      <c r="A10" s="2" t="s">
        <v>174</v>
      </c>
      <c r="B10" s="2">
        <v>12.0</v>
      </c>
      <c r="C10" s="2">
        <v>500.0</v>
      </c>
      <c r="D10" s="3">
        <f t="shared" si="1"/>
        <v>6000</v>
      </c>
      <c r="E10" s="2">
        <v>700.0</v>
      </c>
      <c r="F10" s="3">
        <f t="shared" si="2"/>
        <v>8400</v>
      </c>
    </row>
    <row r="11">
      <c r="A11" s="2" t="s">
        <v>11</v>
      </c>
      <c r="B11" s="2">
        <v>48.0</v>
      </c>
      <c r="C11" s="2">
        <v>300.0</v>
      </c>
      <c r="D11" s="3">
        <f t="shared" si="1"/>
        <v>14400</v>
      </c>
      <c r="E11" s="2">
        <v>500.0</v>
      </c>
      <c r="F11" s="3">
        <f t="shared" si="2"/>
        <v>24000</v>
      </c>
    </row>
    <row r="12">
      <c r="D12" s="4">
        <f>SUM(D3:D11)</f>
        <v>93900</v>
      </c>
      <c r="F12" s="4">
        <f>SUM(F3:F11)</f>
        <v>121150</v>
      </c>
    </row>
    <row r="13">
      <c r="E13" s="5" t="s">
        <v>141</v>
      </c>
      <c r="F13" s="59">
        <f>3600+3800</f>
        <v>7400</v>
      </c>
    </row>
    <row r="14">
      <c r="E14" s="5" t="s">
        <v>12</v>
      </c>
      <c r="F14" s="6">
        <f>F12-D12-F13</f>
        <v>19850</v>
      </c>
    </row>
    <row r="15">
      <c r="E15" s="7"/>
    </row>
    <row r="16">
      <c r="E16" s="7" t="s">
        <v>13</v>
      </c>
    </row>
    <row r="17">
      <c r="E17" s="2" t="s">
        <v>14</v>
      </c>
      <c r="F17" s="8">
        <v>104000.0</v>
      </c>
    </row>
    <row r="18">
      <c r="A18" s="7" t="s">
        <v>19</v>
      </c>
      <c r="E18" s="2" t="s">
        <v>167</v>
      </c>
      <c r="F18" s="8">
        <v>9000.0</v>
      </c>
    </row>
    <row r="19">
      <c r="A19" s="2" t="s">
        <v>113</v>
      </c>
      <c r="B19" s="10"/>
      <c r="C19" s="61">
        <v>4500.0</v>
      </c>
      <c r="D19" s="9" t="s">
        <v>155</v>
      </c>
      <c r="E19" s="2" t="s">
        <v>116</v>
      </c>
      <c r="F19" s="3">
        <f>500*8</f>
        <v>4000</v>
      </c>
    </row>
    <row r="20">
      <c r="A20" s="2"/>
      <c r="B20" s="10"/>
      <c r="C20" s="8"/>
      <c r="E20" s="2" t="s">
        <v>175</v>
      </c>
      <c r="F20" s="8">
        <v>700.0</v>
      </c>
    </row>
    <row r="21">
      <c r="A21" s="2"/>
      <c r="B21" s="10"/>
      <c r="C21" s="8"/>
      <c r="E21" s="2" t="str">
        <f>A18</f>
        <v>Not Paid</v>
      </c>
      <c r="F21" s="3">
        <f>C26</f>
        <v>4500</v>
      </c>
    </row>
    <row r="22">
      <c r="A22" s="2"/>
      <c r="B22" s="10"/>
      <c r="C22" s="8"/>
      <c r="E22" s="2"/>
      <c r="F22" s="60"/>
    </row>
    <row r="23">
      <c r="A23" s="2"/>
      <c r="B23" s="10"/>
      <c r="C23" s="8"/>
      <c r="E23" s="2" t="s">
        <v>17</v>
      </c>
      <c r="F23" s="3">
        <f>SUM(F17:F22)</f>
        <v>122200</v>
      </c>
    </row>
    <row r="24">
      <c r="A24" s="2"/>
      <c r="B24" s="10"/>
      <c r="C24" s="8"/>
      <c r="E24" s="9" t="s">
        <v>152</v>
      </c>
      <c r="F24" s="57">
        <f>F12-F23</f>
        <v>-1050</v>
      </c>
    </row>
    <row r="25">
      <c r="A25" s="2"/>
      <c r="B25" s="10"/>
      <c r="C25" s="8"/>
    </row>
    <row r="26">
      <c r="A26" s="2"/>
      <c r="B26" s="10"/>
      <c r="C26" s="8">
        <f>SUM(C19:C25)</f>
        <v>4500</v>
      </c>
    </row>
    <row r="27">
      <c r="C27" s="55"/>
    </row>
    <row r="32">
      <c r="B32" s="16"/>
    </row>
    <row r="35">
      <c r="B35" s="16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75"/>
    <col customWidth="1" min="5" max="5" width="16.75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>
      <c r="A3" s="2" t="s">
        <v>5</v>
      </c>
      <c r="B3" s="2">
        <v>25.0</v>
      </c>
      <c r="C3" s="2">
        <v>500.0</v>
      </c>
      <c r="D3" s="3">
        <f t="shared" ref="D3:D11" si="1">B3*C3</f>
        <v>12500</v>
      </c>
      <c r="E3" s="2">
        <v>600.0</v>
      </c>
      <c r="F3" s="3">
        <f t="shared" ref="F3:F11" si="2">B3*E3</f>
        <v>15000</v>
      </c>
    </row>
    <row r="4">
      <c r="A4" s="2" t="s">
        <v>6</v>
      </c>
      <c r="B4" s="2">
        <v>25.0</v>
      </c>
      <c r="C4" s="2">
        <v>600.0</v>
      </c>
      <c r="D4" s="3">
        <f t="shared" si="1"/>
        <v>15000</v>
      </c>
      <c r="E4" s="2">
        <v>700.0</v>
      </c>
      <c r="F4" s="3">
        <f t="shared" si="2"/>
        <v>17500</v>
      </c>
    </row>
    <row r="5">
      <c r="A5" s="2" t="s">
        <v>7</v>
      </c>
      <c r="B5" s="2">
        <v>25.0</v>
      </c>
      <c r="C5" s="2">
        <v>600.0</v>
      </c>
      <c r="D5" s="3">
        <f t="shared" si="1"/>
        <v>15000</v>
      </c>
      <c r="E5" s="2">
        <v>700.0</v>
      </c>
      <c r="F5" s="3">
        <f t="shared" si="2"/>
        <v>17500</v>
      </c>
    </row>
    <row r="6">
      <c r="A6" s="2" t="s">
        <v>150</v>
      </c>
      <c r="B6" s="2"/>
      <c r="C6" s="2">
        <v>900.0</v>
      </c>
      <c r="D6" s="3">
        <f t="shared" si="1"/>
        <v>0</v>
      </c>
      <c r="E6" s="2">
        <v>1000.0</v>
      </c>
      <c r="F6" s="3">
        <f t="shared" si="2"/>
        <v>0</v>
      </c>
    </row>
    <row r="7">
      <c r="A7" s="2" t="s">
        <v>9</v>
      </c>
      <c r="B7" s="2">
        <v>15.0</v>
      </c>
      <c r="C7" s="2">
        <v>1000.0</v>
      </c>
      <c r="D7" s="3">
        <f t="shared" si="1"/>
        <v>15000</v>
      </c>
      <c r="E7" s="2">
        <v>1200.0</v>
      </c>
      <c r="F7" s="3">
        <f t="shared" si="2"/>
        <v>18000</v>
      </c>
    </row>
    <row r="8">
      <c r="A8" s="2" t="s">
        <v>10</v>
      </c>
      <c r="B8" s="2">
        <v>20.0</v>
      </c>
      <c r="C8" s="2">
        <v>800.0</v>
      </c>
      <c r="D8" s="3">
        <f t="shared" si="1"/>
        <v>16000</v>
      </c>
      <c r="E8" s="2">
        <v>1000.0</v>
      </c>
      <c r="F8" s="3">
        <f t="shared" si="2"/>
        <v>20000</v>
      </c>
    </row>
    <row r="9">
      <c r="A9" s="2" t="s">
        <v>124</v>
      </c>
      <c r="B9" s="2">
        <v>15.0</v>
      </c>
      <c r="C9" s="2">
        <v>600.0</v>
      </c>
      <c r="D9" s="3">
        <f t="shared" si="1"/>
        <v>9000</v>
      </c>
      <c r="E9" s="2">
        <v>700.0</v>
      </c>
      <c r="F9" s="3">
        <f t="shared" si="2"/>
        <v>10500</v>
      </c>
    </row>
    <row r="10">
      <c r="A10" s="2" t="s">
        <v>174</v>
      </c>
      <c r="B10" s="2">
        <v>12.0</v>
      </c>
      <c r="C10" s="2">
        <v>500.0</v>
      </c>
      <c r="D10" s="3">
        <f t="shared" si="1"/>
        <v>6000</v>
      </c>
      <c r="E10" s="2">
        <v>700.0</v>
      </c>
      <c r="F10" s="3">
        <f t="shared" si="2"/>
        <v>8400</v>
      </c>
    </row>
    <row r="11">
      <c r="A11" s="2" t="s">
        <v>11</v>
      </c>
      <c r="B11" s="2">
        <v>48.0</v>
      </c>
      <c r="C11" s="2">
        <v>300.0</v>
      </c>
      <c r="D11" s="3">
        <f t="shared" si="1"/>
        <v>14400</v>
      </c>
      <c r="E11" s="2">
        <v>500.0</v>
      </c>
      <c r="F11" s="3">
        <f t="shared" si="2"/>
        <v>24000</v>
      </c>
    </row>
    <row r="12">
      <c r="D12" s="4">
        <f>SUM(D3:D11)</f>
        <v>102900</v>
      </c>
      <c r="F12" s="4">
        <f>SUM(F3:F11)</f>
        <v>130900</v>
      </c>
    </row>
    <row r="13">
      <c r="E13" s="5" t="s">
        <v>141</v>
      </c>
      <c r="F13" s="59">
        <f>3500</f>
        <v>3500</v>
      </c>
    </row>
    <row r="14">
      <c r="E14" s="5" t="s">
        <v>12</v>
      </c>
      <c r="F14" s="6">
        <f>F12-D12-F13</f>
        <v>24500</v>
      </c>
    </row>
    <row r="15">
      <c r="E15" s="7"/>
    </row>
    <row r="16">
      <c r="E16" s="7" t="s">
        <v>13</v>
      </c>
    </row>
    <row r="17">
      <c r="E17" s="2" t="s">
        <v>14</v>
      </c>
      <c r="F17" s="8">
        <v>106000.0</v>
      </c>
    </row>
    <row r="18">
      <c r="A18" s="7" t="s">
        <v>19</v>
      </c>
      <c r="E18" s="2" t="s">
        <v>167</v>
      </c>
      <c r="F18" s="8">
        <v>2700.0</v>
      </c>
    </row>
    <row r="19">
      <c r="A19" s="2" t="s">
        <v>176</v>
      </c>
      <c r="B19" s="10"/>
      <c r="C19" s="8">
        <v>1400.0</v>
      </c>
      <c r="E19" s="2" t="s">
        <v>116</v>
      </c>
      <c r="F19" s="3">
        <f>700*11</f>
        <v>7700</v>
      </c>
    </row>
    <row r="20">
      <c r="A20" s="2" t="s">
        <v>160</v>
      </c>
      <c r="B20" s="10"/>
      <c r="C20" s="8">
        <v>2600.0</v>
      </c>
      <c r="E20" s="2" t="s">
        <v>175</v>
      </c>
      <c r="F20" s="8">
        <v>700.0</v>
      </c>
    </row>
    <row r="21">
      <c r="A21" s="2" t="s">
        <v>177</v>
      </c>
      <c r="B21" s="10"/>
      <c r="C21" s="8">
        <v>2400.0</v>
      </c>
      <c r="E21" s="2" t="str">
        <f>A18</f>
        <v>Not Paid</v>
      </c>
      <c r="F21" s="3">
        <f>C26</f>
        <v>8800</v>
      </c>
    </row>
    <row r="22">
      <c r="A22" s="2" t="s">
        <v>178</v>
      </c>
      <c r="B22" s="10"/>
      <c r="C22" s="8">
        <v>700.0</v>
      </c>
      <c r="E22" s="2" t="s">
        <v>179</v>
      </c>
      <c r="F22" s="60">
        <v>700.0</v>
      </c>
    </row>
    <row r="23">
      <c r="A23" s="2" t="s">
        <v>37</v>
      </c>
      <c r="B23" s="10"/>
      <c r="C23" s="8">
        <v>1700.0</v>
      </c>
      <c r="E23" s="2" t="s">
        <v>17</v>
      </c>
      <c r="F23" s="3">
        <f>SUM(F17:F22)</f>
        <v>126600</v>
      </c>
    </row>
    <row r="24">
      <c r="A24" s="2"/>
      <c r="B24" s="10"/>
      <c r="C24" s="8"/>
      <c r="E24" s="9" t="s">
        <v>152</v>
      </c>
      <c r="F24" s="57">
        <f>F12-F23</f>
        <v>4300</v>
      </c>
    </row>
    <row r="25">
      <c r="A25" s="2"/>
      <c r="B25" s="10"/>
      <c r="C25" s="8"/>
    </row>
    <row r="26">
      <c r="A26" s="2"/>
      <c r="B26" s="10"/>
      <c r="C26" s="8">
        <f>SUM(C19:C25)</f>
        <v>8800</v>
      </c>
    </row>
    <row r="27">
      <c r="C27" s="55"/>
    </row>
    <row r="32">
      <c r="B32" s="16"/>
    </row>
    <row r="35">
      <c r="B35" s="16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75"/>
    <col customWidth="1" min="5" max="5" width="16.75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>
      <c r="A3" s="2" t="s">
        <v>5</v>
      </c>
      <c r="B3" s="2">
        <v>25.0</v>
      </c>
      <c r="C3" s="2">
        <v>500.0</v>
      </c>
      <c r="D3" s="3">
        <f t="shared" ref="D3:D12" si="1">B3*C3</f>
        <v>12500</v>
      </c>
      <c r="E3" s="2">
        <v>600.0</v>
      </c>
      <c r="F3" s="3">
        <f t="shared" ref="F3:F12" si="2">B3*E3</f>
        <v>15000</v>
      </c>
    </row>
    <row r="4">
      <c r="A4" s="2" t="s">
        <v>6</v>
      </c>
      <c r="B4" s="2">
        <v>25.0</v>
      </c>
      <c r="C4" s="2">
        <v>600.0</v>
      </c>
      <c r="D4" s="3">
        <f t="shared" si="1"/>
        <v>15000</v>
      </c>
      <c r="E4" s="2">
        <v>700.0</v>
      </c>
      <c r="F4" s="3">
        <f t="shared" si="2"/>
        <v>17500</v>
      </c>
    </row>
    <row r="5">
      <c r="A5" s="2" t="s">
        <v>7</v>
      </c>
      <c r="B5" s="2">
        <v>25.0</v>
      </c>
      <c r="C5" s="2">
        <v>600.0</v>
      </c>
      <c r="D5" s="3">
        <f t="shared" si="1"/>
        <v>15000</v>
      </c>
      <c r="E5" s="2">
        <v>700.0</v>
      </c>
      <c r="F5" s="3">
        <f t="shared" si="2"/>
        <v>17500</v>
      </c>
    </row>
    <row r="6">
      <c r="A6" s="2" t="s">
        <v>150</v>
      </c>
      <c r="B6" s="2">
        <v>10.0</v>
      </c>
      <c r="C6" s="2">
        <v>900.0</v>
      </c>
      <c r="D6" s="3">
        <f t="shared" si="1"/>
        <v>9000</v>
      </c>
      <c r="E6" s="2">
        <v>1000.0</v>
      </c>
      <c r="F6" s="3">
        <f t="shared" si="2"/>
        <v>10000</v>
      </c>
    </row>
    <row r="7">
      <c r="A7" s="2" t="s">
        <v>9</v>
      </c>
      <c r="B7" s="2">
        <v>15.0</v>
      </c>
      <c r="C7" s="2">
        <v>1000.0</v>
      </c>
      <c r="D7" s="3">
        <f t="shared" si="1"/>
        <v>15000</v>
      </c>
      <c r="E7" s="2">
        <v>1200.0</v>
      </c>
      <c r="F7" s="3">
        <f t="shared" si="2"/>
        <v>18000</v>
      </c>
    </row>
    <row r="8">
      <c r="A8" s="2" t="s">
        <v>10</v>
      </c>
      <c r="B8" s="2">
        <v>20.0</v>
      </c>
      <c r="C8" s="2">
        <v>800.0</v>
      </c>
      <c r="D8" s="3">
        <f t="shared" si="1"/>
        <v>16000</v>
      </c>
      <c r="E8" s="2">
        <v>1000.0</v>
      </c>
      <c r="F8" s="3">
        <f t="shared" si="2"/>
        <v>20000</v>
      </c>
    </row>
    <row r="9">
      <c r="A9" s="2" t="s">
        <v>124</v>
      </c>
      <c r="B9" s="2">
        <v>15.0</v>
      </c>
      <c r="C9" s="2">
        <v>600.0</v>
      </c>
      <c r="D9" s="3">
        <f t="shared" si="1"/>
        <v>9000</v>
      </c>
      <c r="E9" s="2">
        <v>700.0</v>
      </c>
      <c r="F9" s="3">
        <f t="shared" si="2"/>
        <v>10500</v>
      </c>
    </row>
    <row r="10">
      <c r="A10" s="2" t="s">
        <v>180</v>
      </c>
      <c r="B10" s="2">
        <v>10.0</v>
      </c>
      <c r="C10" s="2">
        <v>500.0</v>
      </c>
      <c r="D10" s="3">
        <f t="shared" si="1"/>
        <v>5000</v>
      </c>
      <c r="E10" s="2">
        <v>600.0</v>
      </c>
      <c r="F10" s="3">
        <f t="shared" si="2"/>
        <v>6000</v>
      </c>
    </row>
    <row r="11">
      <c r="A11" s="2" t="s">
        <v>174</v>
      </c>
      <c r="B11" s="2">
        <v>12.0</v>
      </c>
      <c r="C11" s="2">
        <v>500.0</v>
      </c>
      <c r="D11" s="3">
        <f t="shared" si="1"/>
        <v>6000</v>
      </c>
      <c r="E11" s="2">
        <v>700.0</v>
      </c>
      <c r="F11" s="3">
        <f t="shared" si="2"/>
        <v>8400</v>
      </c>
    </row>
    <row r="12">
      <c r="A12" s="2" t="s">
        <v>11</v>
      </c>
      <c r="B12" s="2">
        <v>48.0</v>
      </c>
      <c r="C12" s="2">
        <v>300.0</v>
      </c>
      <c r="D12" s="3">
        <f t="shared" si="1"/>
        <v>14400</v>
      </c>
      <c r="E12" s="2">
        <v>500.0</v>
      </c>
      <c r="F12" s="3">
        <f t="shared" si="2"/>
        <v>24000</v>
      </c>
    </row>
    <row r="13">
      <c r="D13" s="4">
        <f>SUM(D3:D12)</f>
        <v>116900</v>
      </c>
      <c r="F13" s="4">
        <f>SUM(F3:F12)</f>
        <v>146900</v>
      </c>
    </row>
    <row r="14">
      <c r="E14" s="5" t="s">
        <v>141</v>
      </c>
      <c r="F14" s="59">
        <v>2900.0</v>
      </c>
    </row>
    <row r="15">
      <c r="E15" s="5" t="s">
        <v>12</v>
      </c>
      <c r="F15" s="6">
        <f>F13-D13-F14</f>
        <v>27100</v>
      </c>
    </row>
    <row r="16">
      <c r="E16" s="7"/>
    </row>
    <row r="17">
      <c r="E17" s="7" t="s">
        <v>13</v>
      </c>
    </row>
    <row r="18">
      <c r="E18" s="2" t="s">
        <v>14</v>
      </c>
      <c r="F18" s="8">
        <v>132200.0</v>
      </c>
    </row>
    <row r="19">
      <c r="A19" s="7" t="s">
        <v>19</v>
      </c>
      <c r="E19" s="2" t="s">
        <v>167</v>
      </c>
      <c r="F19" s="8"/>
    </row>
    <row r="20">
      <c r="A20" s="2" t="s">
        <v>170</v>
      </c>
      <c r="B20" s="10"/>
      <c r="C20" s="8">
        <v>5000.0</v>
      </c>
      <c r="D20" s="9" t="s">
        <v>155</v>
      </c>
      <c r="E20" s="2" t="s">
        <v>116</v>
      </c>
      <c r="F20" s="3"/>
    </row>
    <row r="21">
      <c r="A21" s="2" t="s">
        <v>126</v>
      </c>
      <c r="B21" s="10"/>
      <c r="C21" s="8">
        <v>1100.0</v>
      </c>
      <c r="D21" s="9" t="s">
        <v>155</v>
      </c>
      <c r="E21" s="2" t="s">
        <v>181</v>
      </c>
      <c r="F21" s="8">
        <v>1400.0</v>
      </c>
    </row>
    <row r="22">
      <c r="A22" s="2" t="s">
        <v>32</v>
      </c>
      <c r="B22" s="10"/>
      <c r="C22" s="8">
        <f>700+1200+500</f>
        <v>2400</v>
      </c>
      <c r="E22" s="2" t="str">
        <f>A19</f>
        <v>Not Paid</v>
      </c>
      <c r="F22" s="3">
        <f>C27</f>
        <v>15000</v>
      </c>
    </row>
    <row r="23">
      <c r="A23" s="2" t="s">
        <v>182</v>
      </c>
      <c r="B23" s="10"/>
      <c r="C23" s="8">
        <v>1200.0</v>
      </c>
      <c r="D23" s="9" t="s">
        <v>158</v>
      </c>
      <c r="E23" s="2"/>
      <c r="F23" s="60"/>
    </row>
    <row r="24">
      <c r="A24" s="2" t="s">
        <v>183</v>
      </c>
      <c r="B24" s="10"/>
      <c r="C24" s="8">
        <v>600.0</v>
      </c>
      <c r="E24" s="2" t="s">
        <v>17</v>
      </c>
      <c r="F24" s="3">
        <f>SUM(F18:F23)</f>
        <v>148600</v>
      </c>
    </row>
    <row r="25">
      <c r="A25" s="2" t="s">
        <v>171</v>
      </c>
      <c r="B25" s="10"/>
      <c r="C25" s="8">
        <v>2100.0</v>
      </c>
      <c r="D25" s="9" t="s">
        <v>155</v>
      </c>
      <c r="E25" s="9" t="s">
        <v>152</v>
      </c>
      <c r="F25" s="57">
        <f>F13-F24</f>
        <v>-1700</v>
      </c>
    </row>
    <row r="26">
      <c r="A26" s="2" t="s">
        <v>111</v>
      </c>
      <c r="B26" s="10"/>
      <c r="C26" s="8">
        <v>2600.0</v>
      </c>
      <c r="D26" s="9" t="s">
        <v>158</v>
      </c>
    </row>
    <row r="27">
      <c r="A27" s="2"/>
      <c r="B27" s="10"/>
      <c r="C27" s="8">
        <f>SUM(C20:C26)</f>
        <v>15000</v>
      </c>
      <c r="E27" s="7" t="s">
        <v>184</v>
      </c>
    </row>
    <row r="28">
      <c r="C28" s="55"/>
      <c r="E28" s="9" t="s">
        <v>185</v>
      </c>
      <c r="F28" s="9">
        <v>2000.0</v>
      </c>
    </row>
    <row r="29">
      <c r="E29" s="62" t="s">
        <v>186</v>
      </c>
    </row>
    <row r="33">
      <c r="B33" s="16"/>
    </row>
    <row r="36">
      <c r="B36" s="16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75"/>
    <col customWidth="1" min="4" max="4" width="13.75"/>
    <col customWidth="1" min="5" max="5" width="19.25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>
      <c r="A3" s="2" t="s">
        <v>5</v>
      </c>
      <c r="B3" s="2">
        <v>25.0</v>
      </c>
      <c r="C3" s="2">
        <v>500.0</v>
      </c>
      <c r="D3" s="3">
        <f t="shared" ref="D3:D12" si="1">B3*C3</f>
        <v>12500</v>
      </c>
      <c r="E3" s="2">
        <v>600.0</v>
      </c>
      <c r="F3" s="3">
        <f t="shared" ref="F3:F12" si="2">B3*E3</f>
        <v>15000</v>
      </c>
    </row>
    <row r="4">
      <c r="A4" s="2" t="s">
        <v>6</v>
      </c>
      <c r="B4" s="2">
        <v>25.0</v>
      </c>
      <c r="C4" s="2">
        <v>600.0</v>
      </c>
      <c r="D4" s="3">
        <f t="shared" si="1"/>
        <v>15000</v>
      </c>
      <c r="E4" s="2">
        <v>700.0</v>
      </c>
      <c r="F4" s="3">
        <f t="shared" si="2"/>
        <v>17500</v>
      </c>
    </row>
    <row r="5">
      <c r="A5" s="2" t="s">
        <v>7</v>
      </c>
      <c r="B5" s="2">
        <v>25.0</v>
      </c>
      <c r="C5" s="2">
        <v>600.0</v>
      </c>
      <c r="D5" s="3">
        <f t="shared" si="1"/>
        <v>15000</v>
      </c>
      <c r="E5" s="2">
        <v>700.0</v>
      </c>
      <c r="F5" s="3">
        <f t="shared" si="2"/>
        <v>17500</v>
      </c>
    </row>
    <row r="6">
      <c r="A6" s="2" t="s">
        <v>150</v>
      </c>
      <c r="B6" s="2">
        <v>12.0</v>
      </c>
      <c r="C6" s="2">
        <v>900.0</v>
      </c>
      <c r="D6" s="3">
        <f t="shared" si="1"/>
        <v>10800</v>
      </c>
      <c r="E6" s="2">
        <v>1000.0</v>
      </c>
      <c r="F6" s="3">
        <f t="shared" si="2"/>
        <v>12000</v>
      </c>
    </row>
    <row r="7">
      <c r="A7" s="2" t="s">
        <v>9</v>
      </c>
      <c r="B7" s="2">
        <v>15.0</v>
      </c>
      <c r="C7" s="2">
        <v>1000.0</v>
      </c>
      <c r="D7" s="3">
        <f t="shared" si="1"/>
        <v>15000</v>
      </c>
      <c r="E7" s="2">
        <v>1200.0</v>
      </c>
      <c r="F7" s="3">
        <f t="shared" si="2"/>
        <v>18000</v>
      </c>
    </row>
    <row r="8">
      <c r="A8" s="2" t="s">
        <v>10</v>
      </c>
      <c r="B8" s="2">
        <v>20.0</v>
      </c>
      <c r="C8" s="2">
        <v>800.0</v>
      </c>
      <c r="D8" s="3">
        <f t="shared" si="1"/>
        <v>16000</v>
      </c>
      <c r="E8" s="2">
        <v>1000.0</v>
      </c>
      <c r="F8" s="3">
        <f t="shared" si="2"/>
        <v>20000</v>
      </c>
    </row>
    <row r="9">
      <c r="A9" s="2" t="s">
        <v>124</v>
      </c>
      <c r="B9" s="2">
        <v>15.0</v>
      </c>
      <c r="C9" s="2">
        <v>600.0</v>
      </c>
      <c r="D9" s="3">
        <f t="shared" si="1"/>
        <v>9000</v>
      </c>
      <c r="E9" s="2">
        <v>700.0</v>
      </c>
      <c r="F9" s="3">
        <f t="shared" si="2"/>
        <v>10500</v>
      </c>
    </row>
    <row r="10">
      <c r="A10" s="2" t="s">
        <v>180</v>
      </c>
      <c r="B10" s="2">
        <v>12.0</v>
      </c>
      <c r="C10" s="2">
        <v>500.0</v>
      </c>
      <c r="D10" s="3">
        <f t="shared" si="1"/>
        <v>6000</v>
      </c>
      <c r="E10" s="2">
        <v>600.0</v>
      </c>
      <c r="F10" s="3">
        <f t="shared" si="2"/>
        <v>7200</v>
      </c>
    </row>
    <row r="11">
      <c r="A11" s="2" t="s">
        <v>174</v>
      </c>
      <c r="B11" s="2">
        <v>12.0</v>
      </c>
      <c r="C11" s="2">
        <v>500.0</v>
      </c>
      <c r="D11" s="3">
        <f t="shared" si="1"/>
        <v>6000</v>
      </c>
      <c r="E11" s="2">
        <v>700.0</v>
      </c>
      <c r="F11" s="3">
        <f t="shared" si="2"/>
        <v>8400</v>
      </c>
    </row>
    <row r="12">
      <c r="A12" s="2" t="s">
        <v>11</v>
      </c>
      <c r="B12" s="2">
        <v>48.0</v>
      </c>
      <c r="C12" s="2">
        <v>300.0</v>
      </c>
      <c r="D12" s="3">
        <f t="shared" si="1"/>
        <v>14400</v>
      </c>
      <c r="E12" s="2">
        <v>500.0</v>
      </c>
      <c r="F12" s="3">
        <f t="shared" si="2"/>
        <v>24000</v>
      </c>
    </row>
    <row r="13">
      <c r="D13" s="4">
        <f>SUM(D3:D12)</f>
        <v>119700</v>
      </c>
      <c r="F13" s="4">
        <f>SUM(F3:F12)</f>
        <v>150100</v>
      </c>
    </row>
    <row r="14">
      <c r="E14" s="5" t="s">
        <v>141</v>
      </c>
      <c r="F14" s="59"/>
    </row>
    <row r="15">
      <c r="E15" s="5" t="s">
        <v>12</v>
      </c>
      <c r="F15" s="6">
        <f>F13-D13-F14</f>
        <v>30400</v>
      </c>
    </row>
    <row r="16">
      <c r="E16" s="7"/>
    </row>
    <row r="17">
      <c r="E17" s="7" t="s">
        <v>13</v>
      </c>
    </row>
    <row r="18">
      <c r="E18" s="2" t="s">
        <v>14</v>
      </c>
      <c r="F18" s="8">
        <v>118000.0</v>
      </c>
    </row>
    <row r="19">
      <c r="A19" s="7" t="s">
        <v>19</v>
      </c>
      <c r="E19" s="2" t="s">
        <v>167</v>
      </c>
      <c r="F19" s="8">
        <v>9200.0</v>
      </c>
    </row>
    <row r="20">
      <c r="A20" s="2" t="s">
        <v>187</v>
      </c>
      <c r="B20" s="10"/>
      <c r="C20" s="8">
        <v>2600.0</v>
      </c>
      <c r="D20" s="9" t="s">
        <v>155</v>
      </c>
      <c r="E20" s="2" t="s">
        <v>116</v>
      </c>
      <c r="F20" s="3">
        <f>5*700</f>
        <v>3500</v>
      </c>
    </row>
    <row r="21">
      <c r="A21" s="2" t="s">
        <v>111</v>
      </c>
      <c r="B21" s="10"/>
      <c r="C21" s="8">
        <v>1300.0</v>
      </c>
      <c r="D21" s="9" t="s">
        <v>158</v>
      </c>
      <c r="E21" s="2" t="s">
        <v>181</v>
      </c>
      <c r="F21" s="8">
        <v>1400.0</v>
      </c>
    </row>
    <row r="22">
      <c r="A22" s="2" t="s">
        <v>119</v>
      </c>
      <c r="B22" s="10"/>
      <c r="C22" s="8">
        <v>2700.0</v>
      </c>
      <c r="D22" s="9" t="s">
        <v>158</v>
      </c>
      <c r="E22" s="2" t="str">
        <f>A19</f>
        <v>Not Paid</v>
      </c>
      <c r="F22" s="3">
        <f>C28</f>
        <v>15550</v>
      </c>
    </row>
    <row r="23">
      <c r="A23" s="2" t="s">
        <v>165</v>
      </c>
      <c r="B23" s="10"/>
      <c r="C23" s="8">
        <v>1800.0</v>
      </c>
      <c r="D23" s="9" t="s">
        <v>155</v>
      </c>
      <c r="E23" s="2" t="s">
        <v>188</v>
      </c>
      <c r="F23" s="60">
        <v>2000.0</v>
      </c>
    </row>
    <row r="24">
      <c r="A24" s="2" t="s">
        <v>146</v>
      </c>
      <c r="B24" s="10"/>
      <c r="C24" s="8">
        <v>2000.0</v>
      </c>
      <c r="D24" s="9" t="s">
        <v>155</v>
      </c>
      <c r="E24" s="2" t="s">
        <v>17</v>
      </c>
      <c r="F24" s="3">
        <f>SUM(F18:F23)</f>
        <v>149650</v>
      </c>
    </row>
    <row r="25">
      <c r="A25" s="2" t="s">
        <v>189</v>
      </c>
      <c r="B25" s="10"/>
      <c r="C25" s="8">
        <v>1500.0</v>
      </c>
      <c r="D25" s="9" t="s">
        <v>155</v>
      </c>
      <c r="E25" s="9" t="s">
        <v>152</v>
      </c>
      <c r="F25" s="57">
        <f>F13-F24</f>
        <v>450</v>
      </c>
    </row>
    <row r="26">
      <c r="A26" s="2" t="s">
        <v>182</v>
      </c>
      <c r="B26" s="10"/>
      <c r="C26" s="8">
        <v>1800.0</v>
      </c>
      <c r="D26" s="9" t="s">
        <v>158</v>
      </c>
    </row>
    <row r="27">
      <c r="A27" s="2" t="s">
        <v>190</v>
      </c>
      <c r="B27" s="10"/>
      <c r="C27" s="8">
        <v>1850.0</v>
      </c>
      <c r="D27" s="9" t="s">
        <v>155</v>
      </c>
    </row>
    <row r="28">
      <c r="A28" s="2"/>
      <c r="B28" s="10"/>
      <c r="C28" s="8">
        <f>SUM(C20:C27)</f>
        <v>15550</v>
      </c>
      <c r="E28" s="7"/>
    </row>
    <row r="29">
      <c r="C29" s="55"/>
    </row>
    <row r="30">
      <c r="E30" s="62"/>
    </row>
    <row r="34">
      <c r="B34" s="16"/>
    </row>
    <row r="36">
      <c r="E36" s="9"/>
    </row>
    <row r="37">
      <c r="B37" s="16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75"/>
    <col customWidth="1" min="4" max="4" width="13.75"/>
    <col customWidth="1" min="5" max="5" width="19.25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>
      <c r="A3" s="2" t="s">
        <v>5</v>
      </c>
      <c r="B3" s="2">
        <v>25.0</v>
      </c>
      <c r="C3" s="2">
        <v>500.0</v>
      </c>
      <c r="D3" s="3">
        <f t="shared" ref="D3:D12" si="1">B3*C3</f>
        <v>12500</v>
      </c>
      <c r="E3" s="2">
        <v>600.0</v>
      </c>
      <c r="F3" s="3">
        <f t="shared" ref="F3:F12" si="2">B3*E3</f>
        <v>15000</v>
      </c>
    </row>
    <row r="4">
      <c r="A4" s="2" t="s">
        <v>6</v>
      </c>
      <c r="B4" s="2">
        <v>25.0</v>
      </c>
      <c r="C4" s="2">
        <v>600.0</v>
      </c>
      <c r="D4" s="3">
        <f t="shared" si="1"/>
        <v>15000</v>
      </c>
      <c r="E4" s="2">
        <v>700.0</v>
      </c>
      <c r="F4" s="3">
        <f t="shared" si="2"/>
        <v>17500</v>
      </c>
    </row>
    <row r="5">
      <c r="A5" s="2" t="s">
        <v>7</v>
      </c>
      <c r="B5" s="2">
        <v>25.0</v>
      </c>
      <c r="C5" s="2">
        <v>600.0</v>
      </c>
      <c r="D5" s="3">
        <f t="shared" si="1"/>
        <v>15000</v>
      </c>
      <c r="E5" s="2">
        <v>700.0</v>
      </c>
      <c r="F5" s="3">
        <f t="shared" si="2"/>
        <v>17500</v>
      </c>
    </row>
    <row r="6">
      <c r="A6" s="2" t="s">
        <v>150</v>
      </c>
      <c r="B6" s="2">
        <v>12.0</v>
      </c>
      <c r="C6" s="2">
        <v>900.0</v>
      </c>
      <c r="D6" s="3">
        <f t="shared" si="1"/>
        <v>10800</v>
      </c>
      <c r="E6" s="2">
        <v>1000.0</v>
      </c>
      <c r="F6" s="3">
        <f t="shared" si="2"/>
        <v>12000</v>
      </c>
    </row>
    <row r="7">
      <c r="A7" s="2" t="s">
        <v>9</v>
      </c>
      <c r="B7" s="2">
        <v>15.0</v>
      </c>
      <c r="C7" s="2">
        <v>1000.0</v>
      </c>
      <c r="D7" s="3">
        <f t="shared" si="1"/>
        <v>15000</v>
      </c>
      <c r="E7" s="2">
        <v>1200.0</v>
      </c>
      <c r="F7" s="3">
        <f t="shared" si="2"/>
        <v>18000</v>
      </c>
    </row>
    <row r="8">
      <c r="A8" s="2" t="s">
        <v>10</v>
      </c>
      <c r="B8" s="2">
        <v>20.0</v>
      </c>
      <c r="C8" s="2">
        <v>800.0</v>
      </c>
      <c r="D8" s="3">
        <f t="shared" si="1"/>
        <v>16000</v>
      </c>
      <c r="E8" s="2">
        <v>1000.0</v>
      </c>
      <c r="F8" s="3">
        <f t="shared" si="2"/>
        <v>20000</v>
      </c>
    </row>
    <row r="9">
      <c r="A9" s="2" t="s">
        <v>124</v>
      </c>
      <c r="B9" s="2">
        <v>15.0</v>
      </c>
      <c r="C9" s="2">
        <v>600.0</v>
      </c>
      <c r="D9" s="3">
        <f t="shared" si="1"/>
        <v>9000</v>
      </c>
      <c r="E9" s="2">
        <v>700.0</v>
      </c>
      <c r="F9" s="3">
        <f t="shared" si="2"/>
        <v>10500</v>
      </c>
    </row>
    <row r="10">
      <c r="A10" s="2" t="s">
        <v>180</v>
      </c>
      <c r="B10" s="2"/>
      <c r="C10" s="2">
        <v>500.0</v>
      </c>
      <c r="D10" s="3">
        <f t="shared" si="1"/>
        <v>0</v>
      </c>
      <c r="E10" s="2">
        <v>600.0</v>
      </c>
      <c r="F10" s="3">
        <f t="shared" si="2"/>
        <v>0</v>
      </c>
    </row>
    <row r="11">
      <c r="A11" s="2" t="s">
        <v>174</v>
      </c>
      <c r="B11" s="2">
        <v>12.0</v>
      </c>
      <c r="C11" s="2">
        <v>500.0</v>
      </c>
      <c r="D11" s="3">
        <f t="shared" si="1"/>
        <v>6000</v>
      </c>
      <c r="E11" s="2">
        <v>700.0</v>
      </c>
      <c r="F11" s="3">
        <f t="shared" si="2"/>
        <v>8400</v>
      </c>
    </row>
    <row r="12">
      <c r="A12" s="2" t="s">
        <v>11</v>
      </c>
      <c r="B12" s="2">
        <v>48.0</v>
      </c>
      <c r="C12" s="2">
        <v>300.0</v>
      </c>
      <c r="D12" s="3">
        <f t="shared" si="1"/>
        <v>14400</v>
      </c>
      <c r="E12" s="2">
        <v>500.0</v>
      </c>
      <c r="F12" s="3">
        <f t="shared" si="2"/>
        <v>24000</v>
      </c>
    </row>
    <row r="13">
      <c r="D13" s="4">
        <f>SUM(D3:D12)</f>
        <v>113700</v>
      </c>
      <c r="F13" s="4">
        <f>SUM(F3:F12)</f>
        <v>142900</v>
      </c>
    </row>
    <row r="14">
      <c r="E14" s="5" t="s">
        <v>141</v>
      </c>
      <c r="F14" s="59"/>
    </row>
    <row r="15">
      <c r="E15" s="5" t="s">
        <v>12</v>
      </c>
      <c r="F15" s="6">
        <f>F13-D13-F14</f>
        <v>29200</v>
      </c>
    </row>
    <row r="16">
      <c r="E16" s="7"/>
    </row>
    <row r="17">
      <c r="E17" s="7" t="s">
        <v>13</v>
      </c>
    </row>
    <row r="18">
      <c r="E18" s="2" t="s">
        <v>14</v>
      </c>
      <c r="F18" s="8">
        <v>106000.0</v>
      </c>
    </row>
    <row r="19">
      <c r="A19" s="7" t="s">
        <v>19</v>
      </c>
      <c r="E19" s="2" t="s">
        <v>167</v>
      </c>
      <c r="F19" s="8">
        <v>14400.0</v>
      </c>
    </row>
    <row r="20">
      <c r="A20" s="2" t="s">
        <v>191</v>
      </c>
      <c r="B20" s="10"/>
      <c r="C20" s="8">
        <v>1200.0</v>
      </c>
      <c r="D20" s="9" t="s">
        <v>155</v>
      </c>
      <c r="E20" s="2" t="s">
        <v>116</v>
      </c>
      <c r="F20" s="3">
        <f>6*700</f>
        <v>4200</v>
      </c>
    </row>
    <row r="21">
      <c r="A21" s="2" t="s">
        <v>192</v>
      </c>
      <c r="B21" s="10"/>
      <c r="C21" s="8">
        <v>2700.0</v>
      </c>
      <c r="D21" s="9" t="s">
        <v>155</v>
      </c>
      <c r="E21" s="2" t="s">
        <v>181</v>
      </c>
      <c r="F21" s="8">
        <v>1400.0</v>
      </c>
    </row>
    <row r="22">
      <c r="A22" s="2" t="s">
        <v>193</v>
      </c>
      <c r="B22" s="10"/>
      <c r="C22" s="8">
        <v>1300.0</v>
      </c>
      <c r="D22" s="9" t="s">
        <v>155</v>
      </c>
      <c r="E22" s="2" t="str">
        <f>A19</f>
        <v>Not Paid</v>
      </c>
      <c r="F22" s="3">
        <f>C27</f>
        <v>13100</v>
      </c>
    </row>
    <row r="23">
      <c r="A23" s="2" t="s">
        <v>194</v>
      </c>
      <c r="B23" s="10"/>
      <c r="C23" s="8">
        <v>2000.0</v>
      </c>
      <c r="D23" s="9" t="s">
        <v>155</v>
      </c>
      <c r="E23" s="2" t="s">
        <v>195</v>
      </c>
      <c r="F23" s="60">
        <v>700.0</v>
      </c>
    </row>
    <row r="24">
      <c r="A24" s="2" t="s">
        <v>40</v>
      </c>
      <c r="B24" s="10"/>
      <c r="C24" s="8">
        <v>1300.0</v>
      </c>
      <c r="D24" s="9" t="s">
        <v>155</v>
      </c>
      <c r="E24" s="2" t="s">
        <v>17</v>
      </c>
      <c r="F24" s="3">
        <f>SUM(F18:F23)</f>
        <v>139800</v>
      </c>
    </row>
    <row r="25">
      <c r="A25" s="2" t="s">
        <v>41</v>
      </c>
      <c r="B25" s="10"/>
      <c r="C25" s="8">
        <v>4600.0</v>
      </c>
      <c r="D25" s="9" t="s">
        <v>155</v>
      </c>
      <c r="E25" s="9" t="s">
        <v>152</v>
      </c>
      <c r="F25" s="57">
        <f>F13-F24</f>
        <v>3100</v>
      </c>
    </row>
    <row r="26">
      <c r="A26" s="2"/>
      <c r="B26" s="10"/>
      <c r="C26" s="8"/>
    </row>
    <row r="27">
      <c r="A27" s="2"/>
      <c r="B27" s="10"/>
      <c r="C27" s="8">
        <f>SUM(C20:C26)</f>
        <v>13100</v>
      </c>
      <c r="E27" s="7"/>
    </row>
    <row r="28">
      <c r="C28" s="55"/>
    </row>
    <row r="29">
      <c r="E29" s="63">
        <f>F18+F19+F22-C22+F25</f>
        <v>135300</v>
      </c>
    </row>
    <row r="33">
      <c r="B33" s="16"/>
    </row>
    <row r="35">
      <c r="E35" s="9"/>
    </row>
    <row r="36">
      <c r="B36" s="16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75"/>
    <col customWidth="1" min="4" max="4" width="13.75"/>
    <col customWidth="1" min="5" max="5" width="19.25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>
      <c r="A3" s="2" t="s">
        <v>5</v>
      </c>
      <c r="B3" s="2">
        <v>25.0</v>
      </c>
      <c r="C3" s="2">
        <v>500.0</v>
      </c>
      <c r="D3" s="3">
        <f t="shared" ref="D3:D12" si="1">B3*C3</f>
        <v>12500</v>
      </c>
      <c r="E3" s="2">
        <v>600.0</v>
      </c>
      <c r="F3" s="3">
        <f t="shared" ref="F3:F12" si="2">B3*E3</f>
        <v>15000</v>
      </c>
    </row>
    <row r="4">
      <c r="A4" s="2" t="s">
        <v>6</v>
      </c>
      <c r="B4" s="2">
        <v>25.0</v>
      </c>
      <c r="C4" s="2">
        <v>600.0</v>
      </c>
      <c r="D4" s="3">
        <f t="shared" si="1"/>
        <v>15000</v>
      </c>
      <c r="E4" s="2">
        <v>700.0</v>
      </c>
      <c r="F4" s="3">
        <f t="shared" si="2"/>
        <v>17500</v>
      </c>
    </row>
    <row r="5">
      <c r="A5" s="2" t="s">
        <v>7</v>
      </c>
      <c r="B5" s="2">
        <v>25.0</v>
      </c>
      <c r="C5" s="2">
        <v>600.0</v>
      </c>
      <c r="D5" s="3">
        <f t="shared" si="1"/>
        <v>15000</v>
      </c>
      <c r="E5" s="2">
        <v>700.0</v>
      </c>
      <c r="F5" s="3">
        <f t="shared" si="2"/>
        <v>17500</v>
      </c>
    </row>
    <row r="6">
      <c r="A6" s="2" t="s">
        <v>150</v>
      </c>
      <c r="B6" s="2">
        <v>17.0</v>
      </c>
      <c r="C6" s="2">
        <v>900.0</v>
      </c>
      <c r="D6" s="3">
        <f t="shared" si="1"/>
        <v>15300</v>
      </c>
      <c r="E6" s="2">
        <v>1000.0</v>
      </c>
      <c r="F6" s="3">
        <f t="shared" si="2"/>
        <v>17000</v>
      </c>
    </row>
    <row r="7">
      <c r="A7" s="2" t="s">
        <v>9</v>
      </c>
      <c r="B7" s="2">
        <v>15.0</v>
      </c>
      <c r="C7" s="2">
        <v>1000.0</v>
      </c>
      <c r="D7" s="3">
        <f t="shared" si="1"/>
        <v>15000</v>
      </c>
      <c r="E7" s="2">
        <v>1200.0</v>
      </c>
      <c r="F7" s="3">
        <f t="shared" si="2"/>
        <v>18000</v>
      </c>
    </row>
    <row r="8">
      <c r="A8" s="2" t="s">
        <v>10</v>
      </c>
      <c r="B8" s="2">
        <v>20.0</v>
      </c>
      <c r="C8" s="2">
        <v>800.0</v>
      </c>
      <c r="D8" s="3">
        <f t="shared" si="1"/>
        <v>16000</v>
      </c>
      <c r="E8" s="2">
        <v>1000.0</v>
      </c>
      <c r="F8" s="3">
        <f t="shared" si="2"/>
        <v>20000</v>
      </c>
    </row>
    <row r="9">
      <c r="A9" s="2" t="s">
        <v>124</v>
      </c>
      <c r="B9" s="2">
        <v>15.0</v>
      </c>
      <c r="C9" s="2">
        <v>600.0</v>
      </c>
      <c r="D9" s="3">
        <f t="shared" si="1"/>
        <v>9000</v>
      </c>
      <c r="E9" s="2">
        <v>700.0</v>
      </c>
      <c r="F9" s="3">
        <f t="shared" si="2"/>
        <v>10500</v>
      </c>
    </row>
    <row r="10">
      <c r="A10" s="2" t="s">
        <v>180</v>
      </c>
      <c r="B10" s="2"/>
      <c r="C10" s="2">
        <v>500.0</v>
      </c>
      <c r="D10" s="3">
        <f t="shared" si="1"/>
        <v>0</v>
      </c>
      <c r="E10" s="2">
        <v>600.0</v>
      </c>
      <c r="F10" s="3">
        <f t="shared" si="2"/>
        <v>0</v>
      </c>
    </row>
    <row r="11">
      <c r="A11" s="2" t="s">
        <v>174</v>
      </c>
      <c r="B11" s="2">
        <v>12.0</v>
      </c>
      <c r="C11" s="2">
        <v>500.0</v>
      </c>
      <c r="D11" s="3">
        <f t="shared" si="1"/>
        <v>6000</v>
      </c>
      <c r="E11" s="2">
        <v>700.0</v>
      </c>
      <c r="F11" s="3">
        <f t="shared" si="2"/>
        <v>8400</v>
      </c>
    </row>
    <row r="12">
      <c r="A12" s="2" t="s">
        <v>11</v>
      </c>
      <c r="B12" s="2">
        <v>48.0</v>
      </c>
      <c r="C12" s="2">
        <v>300.0</v>
      </c>
      <c r="D12" s="3">
        <f t="shared" si="1"/>
        <v>14400</v>
      </c>
      <c r="E12" s="2">
        <v>500.0</v>
      </c>
      <c r="F12" s="3">
        <f t="shared" si="2"/>
        <v>24000</v>
      </c>
    </row>
    <row r="13">
      <c r="D13" s="4">
        <f>SUM(D3:D12)</f>
        <v>118200</v>
      </c>
      <c r="F13" s="4">
        <f>SUM(F3:F12)</f>
        <v>147900</v>
      </c>
    </row>
    <row r="14">
      <c r="E14" s="5" t="s">
        <v>141</v>
      </c>
      <c r="F14" s="59"/>
    </row>
    <row r="15">
      <c r="E15" s="5" t="s">
        <v>12</v>
      </c>
      <c r="F15" s="6">
        <f>F13-D13-F14</f>
        <v>29700</v>
      </c>
    </row>
    <row r="16">
      <c r="E16" s="7"/>
    </row>
    <row r="17">
      <c r="E17" s="7" t="s">
        <v>13</v>
      </c>
    </row>
    <row r="18">
      <c r="E18" s="2" t="s">
        <v>14</v>
      </c>
      <c r="F18" s="8">
        <v>120800.0</v>
      </c>
    </row>
    <row r="19">
      <c r="A19" s="7" t="s">
        <v>19</v>
      </c>
      <c r="E19" s="2" t="s">
        <v>167</v>
      </c>
      <c r="F19" s="8">
        <v>4000.0</v>
      </c>
    </row>
    <row r="20">
      <c r="A20" s="2" t="s">
        <v>182</v>
      </c>
      <c r="B20" s="10"/>
      <c r="C20" s="8">
        <v>1100.0</v>
      </c>
      <c r="E20" s="2" t="s">
        <v>116</v>
      </c>
      <c r="F20" s="3"/>
    </row>
    <row r="21">
      <c r="A21" s="2" t="s">
        <v>126</v>
      </c>
      <c r="B21" s="10"/>
      <c r="C21" s="8">
        <v>3700.0</v>
      </c>
      <c r="D21" s="9" t="s">
        <v>155</v>
      </c>
      <c r="E21" s="2" t="s">
        <v>181</v>
      </c>
      <c r="F21" s="8">
        <v>1400.0</v>
      </c>
    </row>
    <row r="22">
      <c r="A22" s="2" t="s">
        <v>196</v>
      </c>
      <c r="B22" s="10"/>
      <c r="C22" s="8">
        <v>5200.0</v>
      </c>
      <c r="E22" s="2" t="str">
        <f>A19</f>
        <v>Not Paid</v>
      </c>
      <c r="F22" s="3">
        <f>C28</f>
        <v>18000</v>
      </c>
    </row>
    <row r="23">
      <c r="A23" s="2" t="s">
        <v>197</v>
      </c>
      <c r="B23" s="10"/>
      <c r="C23" s="8">
        <v>3800.0</v>
      </c>
      <c r="E23" s="2" t="s">
        <v>158</v>
      </c>
      <c r="F23" s="60">
        <v>2100.0</v>
      </c>
    </row>
    <row r="24">
      <c r="A24" s="2" t="s">
        <v>198</v>
      </c>
      <c r="B24" s="10"/>
      <c r="C24" s="8">
        <v>1900.0</v>
      </c>
      <c r="E24" s="2" t="s">
        <v>17</v>
      </c>
      <c r="F24" s="3">
        <f>SUM(F18:F23)</f>
        <v>146300</v>
      </c>
    </row>
    <row r="25">
      <c r="A25" s="2" t="s">
        <v>28</v>
      </c>
      <c r="B25" s="10"/>
      <c r="C25" s="8">
        <v>600.0</v>
      </c>
      <c r="E25" s="9" t="s">
        <v>152</v>
      </c>
      <c r="F25" s="57">
        <f>F13-F24</f>
        <v>1600</v>
      </c>
    </row>
    <row r="26">
      <c r="A26" s="2" t="s">
        <v>111</v>
      </c>
      <c r="B26" s="10"/>
      <c r="C26" s="8">
        <v>1700.0</v>
      </c>
    </row>
    <row r="27">
      <c r="A27" s="2"/>
      <c r="B27" s="10"/>
      <c r="C27" s="8"/>
      <c r="E27" s="7"/>
    </row>
    <row r="28">
      <c r="A28" s="2"/>
      <c r="B28" s="10"/>
      <c r="C28" s="8">
        <f>SUM(C20:C26)</f>
        <v>18000</v>
      </c>
      <c r="E28" s="7"/>
    </row>
    <row r="29">
      <c r="C29" s="55"/>
    </row>
    <row r="30">
      <c r="E30" s="62"/>
    </row>
    <row r="34">
      <c r="B34" s="16"/>
    </row>
    <row r="36">
      <c r="E36" s="9"/>
    </row>
    <row r="37">
      <c r="B37" s="16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75"/>
    <col customWidth="1" min="4" max="4" width="13.75"/>
    <col customWidth="1" min="5" max="5" width="19.25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>
      <c r="A3" s="2" t="s">
        <v>5</v>
      </c>
      <c r="B3" s="2">
        <v>25.0</v>
      </c>
      <c r="C3" s="2">
        <v>500.0</v>
      </c>
      <c r="D3" s="3">
        <f t="shared" ref="D3:D12" si="1">B3*C3</f>
        <v>12500</v>
      </c>
      <c r="E3" s="2">
        <v>600.0</v>
      </c>
      <c r="F3" s="3">
        <f t="shared" ref="F3:F12" si="2">B3*E3</f>
        <v>15000</v>
      </c>
    </row>
    <row r="4">
      <c r="A4" s="2" t="s">
        <v>6</v>
      </c>
      <c r="B4" s="2">
        <v>25.0</v>
      </c>
      <c r="C4" s="2">
        <v>600.0</v>
      </c>
      <c r="D4" s="3">
        <f t="shared" si="1"/>
        <v>15000</v>
      </c>
      <c r="E4" s="2">
        <v>700.0</v>
      </c>
      <c r="F4" s="3">
        <f t="shared" si="2"/>
        <v>17500</v>
      </c>
    </row>
    <row r="5">
      <c r="A5" s="2" t="s">
        <v>7</v>
      </c>
      <c r="B5" s="2">
        <v>25.0</v>
      </c>
      <c r="C5" s="2">
        <v>600.0</v>
      </c>
      <c r="D5" s="3">
        <f t="shared" si="1"/>
        <v>15000</v>
      </c>
      <c r="E5" s="2">
        <v>700.0</v>
      </c>
      <c r="F5" s="3">
        <f t="shared" si="2"/>
        <v>17500</v>
      </c>
    </row>
    <row r="6">
      <c r="A6" s="2" t="s">
        <v>150</v>
      </c>
      <c r="B6" s="2">
        <v>19.0</v>
      </c>
      <c r="C6" s="2">
        <v>900.0</v>
      </c>
      <c r="D6" s="3">
        <f t="shared" si="1"/>
        <v>17100</v>
      </c>
      <c r="E6" s="2">
        <v>1000.0</v>
      </c>
      <c r="F6" s="3">
        <f t="shared" si="2"/>
        <v>19000</v>
      </c>
    </row>
    <row r="7">
      <c r="A7" s="2" t="s">
        <v>9</v>
      </c>
      <c r="B7" s="2">
        <v>15.0</v>
      </c>
      <c r="C7" s="2">
        <v>1000.0</v>
      </c>
      <c r="D7" s="3">
        <f t="shared" si="1"/>
        <v>15000</v>
      </c>
      <c r="E7" s="2">
        <v>1200.0</v>
      </c>
      <c r="F7" s="3">
        <f t="shared" si="2"/>
        <v>18000</v>
      </c>
    </row>
    <row r="8">
      <c r="A8" s="2" t="s">
        <v>10</v>
      </c>
      <c r="B8" s="2">
        <v>20.0</v>
      </c>
      <c r="C8" s="2">
        <v>800.0</v>
      </c>
      <c r="D8" s="3">
        <f t="shared" si="1"/>
        <v>16000</v>
      </c>
      <c r="E8" s="2">
        <v>1000.0</v>
      </c>
      <c r="F8" s="3">
        <f t="shared" si="2"/>
        <v>20000</v>
      </c>
    </row>
    <row r="9">
      <c r="A9" s="2" t="s">
        <v>124</v>
      </c>
      <c r="B9" s="2">
        <v>15.0</v>
      </c>
      <c r="C9" s="2">
        <v>600.0</v>
      </c>
      <c r="D9" s="3">
        <f t="shared" si="1"/>
        <v>9000</v>
      </c>
      <c r="E9" s="2">
        <v>700.0</v>
      </c>
      <c r="F9" s="3">
        <f t="shared" si="2"/>
        <v>10500</v>
      </c>
    </row>
    <row r="10">
      <c r="A10" s="2" t="s">
        <v>180</v>
      </c>
      <c r="B10" s="2"/>
      <c r="C10" s="2">
        <v>500.0</v>
      </c>
      <c r="D10" s="3">
        <f t="shared" si="1"/>
        <v>0</v>
      </c>
      <c r="E10" s="2">
        <v>600.0</v>
      </c>
      <c r="F10" s="3">
        <f t="shared" si="2"/>
        <v>0</v>
      </c>
    </row>
    <row r="11">
      <c r="A11" s="2" t="s">
        <v>174</v>
      </c>
      <c r="B11" s="2">
        <v>12.0</v>
      </c>
      <c r="C11" s="2">
        <v>500.0</v>
      </c>
      <c r="D11" s="3">
        <f t="shared" si="1"/>
        <v>6000</v>
      </c>
      <c r="E11" s="2">
        <v>700.0</v>
      </c>
      <c r="F11" s="3">
        <f t="shared" si="2"/>
        <v>8400</v>
      </c>
    </row>
    <row r="12">
      <c r="A12" s="2" t="s">
        <v>11</v>
      </c>
      <c r="B12" s="2">
        <v>48.0</v>
      </c>
      <c r="C12" s="2">
        <v>300.0</v>
      </c>
      <c r="D12" s="3">
        <f t="shared" si="1"/>
        <v>14400</v>
      </c>
      <c r="E12" s="2">
        <v>500.0</v>
      </c>
      <c r="F12" s="3">
        <f t="shared" si="2"/>
        <v>24000</v>
      </c>
    </row>
    <row r="13">
      <c r="D13" s="4">
        <f>SUM(D3:D12)</f>
        <v>120000</v>
      </c>
      <c r="F13" s="4">
        <f>SUM(F3:F12)</f>
        <v>149900</v>
      </c>
    </row>
    <row r="14">
      <c r="E14" s="5" t="s">
        <v>141</v>
      </c>
      <c r="F14" s="59"/>
    </row>
    <row r="15">
      <c r="E15" s="5" t="s">
        <v>12</v>
      </c>
      <c r="F15" s="6">
        <f>F13-D13-F14</f>
        <v>29900</v>
      </c>
    </row>
    <row r="16">
      <c r="E16" s="7"/>
    </row>
    <row r="17">
      <c r="E17" s="7" t="s">
        <v>13</v>
      </c>
    </row>
    <row r="18">
      <c r="E18" s="2" t="s">
        <v>14</v>
      </c>
      <c r="F18" s="8">
        <f>113000+1900+5200</f>
        <v>120100</v>
      </c>
    </row>
    <row r="19">
      <c r="A19" s="7" t="s">
        <v>19</v>
      </c>
      <c r="E19" s="2" t="s">
        <v>167</v>
      </c>
      <c r="F19" s="8">
        <v>15000.0</v>
      </c>
    </row>
    <row r="20">
      <c r="A20" s="2" t="s">
        <v>111</v>
      </c>
      <c r="B20" s="10"/>
      <c r="C20" s="8">
        <v>1000.0</v>
      </c>
      <c r="E20" s="2" t="s">
        <v>116</v>
      </c>
      <c r="F20" s="3">
        <f>(E5*7)+(E3*6)</f>
        <v>8500</v>
      </c>
    </row>
    <row r="21">
      <c r="A21" s="2" t="s">
        <v>199</v>
      </c>
      <c r="B21" s="10"/>
      <c r="C21" s="8">
        <v>500.0</v>
      </c>
      <c r="E21" s="2" t="s">
        <v>200</v>
      </c>
      <c r="F21" s="8">
        <f>E11*6</f>
        <v>4200</v>
      </c>
    </row>
    <row r="22">
      <c r="A22" s="2" t="s">
        <v>201</v>
      </c>
      <c r="B22" s="10"/>
      <c r="C22" s="8">
        <v>2400.0</v>
      </c>
      <c r="D22" s="9" t="s">
        <v>155</v>
      </c>
      <c r="E22" s="2" t="str">
        <f>A19</f>
        <v>Not Paid</v>
      </c>
      <c r="F22" s="3">
        <f>C28</f>
        <v>3900</v>
      </c>
    </row>
    <row r="23">
      <c r="A23" s="2"/>
      <c r="B23" s="10"/>
      <c r="C23" s="8"/>
      <c r="E23" s="2" t="s">
        <v>202</v>
      </c>
      <c r="F23" s="60">
        <f>E12*7</f>
        <v>3500</v>
      </c>
    </row>
    <row r="24">
      <c r="A24" s="2"/>
      <c r="B24" s="10"/>
      <c r="C24" s="8"/>
      <c r="E24" s="2" t="s">
        <v>17</v>
      </c>
      <c r="F24" s="3">
        <f>SUM(F18:F23)</f>
        <v>155200</v>
      </c>
    </row>
    <row r="25">
      <c r="A25" s="2"/>
      <c r="B25" s="10"/>
      <c r="C25" s="8"/>
      <c r="E25" s="9" t="s">
        <v>152</v>
      </c>
      <c r="F25" s="57">
        <f>F13-F24</f>
        <v>-5300</v>
      </c>
    </row>
    <row r="26">
      <c r="A26" s="2"/>
      <c r="B26" s="10"/>
      <c r="C26" s="8"/>
    </row>
    <row r="27">
      <c r="A27" s="2"/>
      <c r="B27" s="10"/>
      <c r="C27" s="8"/>
      <c r="E27" s="7"/>
    </row>
    <row r="28">
      <c r="A28" s="2"/>
      <c r="B28" s="10"/>
      <c r="C28" s="8">
        <f>SUM(C20:C26)</f>
        <v>3900</v>
      </c>
      <c r="E28" s="7"/>
    </row>
    <row r="29">
      <c r="C29" s="55"/>
    </row>
    <row r="30">
      <c r="E30" s="62"/>
    </row>
    <row r="34">
      <c r="B34" s="16"/>
    </row>
    <row r="36">
      <c r="E36" s="9"/>
    </row>
    <row r="37">
      <c r="B37" s="16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75"/>
    <col customWidth="1" min="4" max="4" width="13.75"/>
    <col customWidth="1" min="5" max="5" width="19.25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>
      <c r="A3" s="2" t="s">
        <v>5</v>
      </c>
      <c r="B3" s="2">
        <v>25.0</v>
      </c>
      <c r="C3" s="2">
        <v>500.0</v>
      </c>
      <c r="D3" s="3">
        <f t="shared" ref="D3:D12" si="1">B3*C3</f>
        <v>12500</v>
      </c>
      <c r="E3" s="2">
        <v>600.0</v>
      </c>
      <c r="F3" s="3">
        <f t="shared" ref="F3:F12" si="2">B3*E3</f>
        <v>15000</v>
      </c>
    </row>
    <row r="4">
      <c r="A4" s="2" t="s">
        <v>6</v>
      </c>
      <c r="B4" s="2">
        <v>25.0</v>
      </c>
      <c r="C4" s="2">
        <v>600.0</v>
      </c>
      <c r="D4" s="3">
        <f t="shared" si="1"/>
        <v>15000</v>
      </c>
      <c r="E4" s="2">
        <v>700.0</v>
      </c>
      <c r="F4" s="3">
        <f t="shared" si="2"/>
        <v>17500</v>
      </c>
    </row>
    <row r="5">
      <c r="A5" s="2" t="s">
        <v>7</v>
      </c>
      <c r="B5" s="2">
        <v>25.0</v>
      </c>
      <c r="C5" s="2">
        <v>600.0</v>
      </c>
      <c r="D5" s="3">
        <f t="shared" si="1"/>
        <v>15000</v>
      </c>
      <c r="E5" s="2">
        <v>700.0</v>
      </c>
      <c r="F5" s="3">
        <f t="shared" si="2"/>
        <v>17500</v>
      </c>
    </row>
    <row r="6">
      <c r="A6" s="2" t="s">
        <v>150</v>
      </c>
      <c r="B6" s="2">
        <v>20.0</v>
      </c>
      <c r="C6" s="2">
        <v>900.0</v>
      </c>
      <c r="D6" s="3">
        <f t="shared" si="1"/>
        <v>18000</v>
      </c>
      <c r="E6" s="2">
        <v>1000.0</v>
      </c>
      <c r="F6" s="3">
        <f t="shared" si="2"/>
        <v>20000</v>
      </c>
    </row>
    <row r="7">
      <c r="A7" s="2" t="s">
        <v>9</v>
      </c>
      <c r="B7" s="2">
        <v>15.0</v>
      </c>
      <c r="C7" s="2">
        <v>1000.0</v>
      </c>
      <c r="D7" s="3">
        <f t="shared" si="1"/>
        <v>15000</v>
      </c>
      <c r="E7" s="2">
        <v>1200.0</v>
      </c>
      <c r="F7" s="3">
        <f t="shared" si="2"/>
        <v>18000</v>
      </c>
    </row>
    <row r="8">
      <c r="A8" s="2" t="s">
        <v>10</v>
      </c>
      <c r="B8" s="2">
        <v>20.0</v>
      </c>
      <c r="C8" s="2">
        <v>800.0</v>
      </c>
      <c r="D8" s="3">
        <f t="shared" si="1"/>
        <v>16000</v>
      </c>
      <c r="E8" s="2">
        <v>1000.0</v>
      </c>
      <c r="F8" s="3">
        <f t="shared" si="2"/>
        <v>20000</v>
      </c>
    </row>
    <row r="9">
      <c r="A9" s="2" t="s">
        <v>124</v>
      </c>
      <c r="B9" s="2">
        <v>15.0</v>
      </c>
      <c r="C9" s="2">
        <v>600.0</v>
      </c>
      <c r="D9" s="3">
        <f t="shared" si="1"/>
        <v>9000</v>
      </c>
      <c r="E9" s="2">
        <v>700.0</v>
      </c>
      <c r="F9" s="3">
        <f t="shared" si="2"/>
        <v>10500</v>
      </c>
    </row>
    <row r="10">
      <c r="A10" s="2" t="s">
        <v>180</v>
      </c>
      <c r="B10" s="2"/>
      <c r="C10" s="2">
        <v>500.0</v>
      </c>
      <c r="D10" s="3">
        <f t="shared" si="1"/>
        <v>0</v>
      </c>
      <c r="E10" s="2">
        <v>600.0</v>
      </c>
      <c r="F10" s="3">
        <f t="shared" si="2"/>
        <v>0</v>
      </c>
    </row>
    <row r="11">
      <c r="A11" s="2" t="s">
        <v>174</v>
      </c>
      <c r="B11" s="2">
        <v>12.0</v>
      </c>
      <c r="C11" s="2">
        <v>500.0</v>
      </c>
      <c r="D11" s="3">
        <f t="shared" si="1"/>
        <v>6000</v>
      </c>
      <c r="E11" s="2">
        <v>700.0</v>
      </c>
      <c r="F11" s="3">
        <f t="shared" si="2"/>
        <v>8400</v>
      </c>
    </row>
    <row r="12">
      <c r="A12" s="2" t="s">
        <v>11</v>
      </c>
      <c r="B12" s="2">
        <v>48.0</v>
      </c>
      <c r="C12" s="2">
        <v>300.0</v>
      </c>
      <c r="D12" s="3">
        <f t="shared" si="1"/>
        <v>14400</v>
      </c>
      <c r="E12" s="2">
        <v>500.0</v>
      </c>
      <c r="F12" s="3">
        <f t="shared" si="2"/>
        <v>24000</v>
      </c>
    </row>
    <row r="13">
      <c r="D13" s="4">
        <f>SUM(D3:D12)</f>
        <v>120900</v>
      </c>
      <c r="F13" s="4">
        <f>SUM(F3:F12)</f>
        <v>150900</v>
      </c>
    </row>
    <row r="14">
      <c r="E14" s="5" t="s">
        <v>141</v>
      </c>
      <c r="F14" s="59"/>
    </row>
    <row r="15">
      <c r="E15" s="5" t="s">
        <v>12</v>
      </c>
      <c r="F15" s="6">
        <f>F13-D13-F14</f>
        <v>30000</v>
      </c>
    </row>
    <row r="16">
      <c r="E16" s="7"/>
    </row>
    <row r="17">
      <c r="E17" s="7" t="s">
        <v>13</v>
      </c>
    </row>
    <row r="18">
      <c r="E18" s="2" t="s">
        <v>14</v>
      </c>
      <c r="F18" s="8">
        <v>119000.0</v>
      </c>
    </row>
    <row r="19">
      <c r="A19" s="7" t="s">
        <v>19</v>
      </c>
      <c r="E19" s="2" t="s">
        <v>167</v>
      </c>
      <c r="F19" s="8">
        <v>7000.0</v>
      </c>
    </row>
    <row r="20">
      <c r="A20" s="2" t="s">
        <v>111</v>
      </c>
      <c r="B20" s="10"/>
      <c r="C20" s="8">
        <v>2600.0</v>
      </c>
      <c r="E20" s="2" t="s">
        <v>116</v>
      </c>
      <c r="F20" s="3">
        <f>(E5*4)+(E3*4)</f>
        <v>5200</v>
      </c>
    </row>
    <row r="21">
      <c r="A21" s="2" t="s">
        <v>41</v>
      </c>
      <c r="B21" s="10"/>
      <c r="C21" s="8">
        <v>4500.0</v>
      </c>
      <c r="D21" s="9" t="s">
        <v>155</v>
      </c>
      <c r="E21" s="2" t="s">
        <v>200</v>
      </c>
      <c r="F21" s="8">
        <f>E11*6</f>
        <v>4200</v>
      </c>
    </row>
    <row r="22">
      <c r="A22" s="2"/>
      <c r="B22" s="10"/>
      <c r="C22" s="8"/>
      <c r="E22" s="2" t="str">
        <f>A19</f>
        <v>Not Paid</v>
      </c>
      <c r="F22" s="3">
        <f>C28</f>
        <v>7100</v>
      </c>
    </row>
    <row r="23">
      <c r="A23" s="2"/>
      <c r="B23" s="10"/>
      <c r="C23" s="8"/>
      <c r="E23" s="2" t="s">
        <v>202</v>
      </c>
      <c r="F23" s="60"/>
    </row>
    <row r="24">
      <c r="A24" s="2"/>
      <c r="B24" s="10"/>
      <c r="C24" s="8"/>
      <c r="E24" s="2" t="s">
        <v>17</v>
      </c>
      <c r="F24" s="3">
        <f>SUM(F18:F23)</f>
        <v>142500</v>
      </c>
    </row>
    <row r="25">
      <c r="A25" s="2"/>
      <c r="B25" s="10"/>
      <c r="C25" s="8"/>
      <c r="E25" s="9" t="s">
        <v>152</v>
      </c>
      <c r="F25" s="57">
        <f>F13-F24</f>
        <v>8400</v>
      </c>
    </row>
    <row r="26">
      <c r="A26" s="2"/>
      <c r="B26" s="10"/>
      <c r="C26" s="8"/>
    </row>
    <row r="27">
      <c r="A27" s="2"/>
      <c r="B27" s="10"/>
      <c r="C27" s="8"/>
      <c r="E27" s="7"/>
    </row>
    <row r="28">
      <c r="A28" s="2"/>
      <c r="B28" s="10"/>
      <c r="C28" s="8">
        <f>SUM(C20:C26)</f>
        <v>7100</v>
      </c>
      <c r="E28" s="7"/>
    </row>
    <row r="29">
      <c r="C29" s="55"/>
    </row>
    <row r="30">
      <c r="E30" s="62"/>
    </row>
    <row r="34">
      <c r="B34" s="16"/>
    </row>
    <row r="36">
      <c r="E36" s="9"/>
    </row>
    <row r="37">
      <c r="B37" s="16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75"/>
    <col customWidth="1" min="4" max="4" width="13.75"/>
    <col customWidth="1" min="5" max="5" width="19.25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>
      <c r="A3" s="2" t="s">
        <v>5</v>
      </c>
      <c r="B3" s="2">
        <v>25.0</v>
      </c>
      <c r="C3" s="2">
        <v>500.0</v>
      </c>
      <c r="D3" s="3">
        <f t="shared" ref="D3:D12" si="1">B3*C3</f>
        <v>12500</v>
      </c>
      <c r="E3" s="2">
        <v>600.0</v>
      </c>
      <c r="F3" s="3">
        <f t="shared" ref="F3:F12" si="2">B3*E3</f>
        <v>15000</v>
      </c>
    </row>
    <row r="4">
      <c r="A4" s="2" t="s">
        <v>6</v>
      </c>
      <c r="B4" s="2">
        <v>25.0</v>
      </c>
      <c r="C4" s="2">
        <v>600.0</v>
      </c>
      <c r="D4" s="3">
        <f t="shared" si="1"/>
        <v>15000</v>
      </c>
      <c r="E4" s="2">
        <v>700.0</v>
      </c>
      <c r="F4" s="3">
        <f t="shared" si="2"/>
        <v>17500</v>
      </c>
    </row>
    <row r="5">
      <c r="A5" s="2" t="s">
        <v>7</v>
      </c>
      <c r="B5" s="2">
        <v>25.0</v>
      </c>
      <c r="C5" s="2">
        <v>600.0</v>
      </c>
      <c r="D5" s="3">
        <f t="shared" si="1"/>
        <v>15000</v>
      </c>
      <c r="E5" s="2">
        <v>700.0</v>
      </c>
      <c r="F5" s="3">
        <f t="shared" si="2"/>
        <v>17500</v>
      </c>
    </row>
    <row r="6">
      <c r="A6" s="2" t="s">
        <v>150</v>
      </c>
      <c r="B6" s="2">
        <v>20.0</v>
      </c>
      <c r="C6" s="2">
        <v>900.0</v>
      </c>
      <c r="D6" s="3">
        <f t="shared" si="1"/>
        <v>18000</v>
      </c>
      <c r="E6" s="2">
        <v>1000.0</v>
      </c>
      <c r="F6" s="3">
        <f t="shared" si="2"/>
        <v>20000</v>
      </c>
    </row>
    <row r="7">
      <c r="A7" s="2" t="s">
        <v>9</v>
      </c>
      <c r="B7" s="2">
        <v>15.0</v>
      </c>
      <c r="C7" s="2">
        <v>1000.0</v>
      </c>
      <c r="D7" s="3">
        <f t="shared" si="1"/>
        <v>15000</v>
      </c>
      <c r="E7" s="2">
        <v>1200.0</v>
      </c>
      <c r="F7" s="3">
        <f t="shared" si="2"/>
        <v>18000</v>
      </c>
    </row>
    <row r="8">
      <c r="A8" s="2" t="s">
        <v>10</v>
      </c>
      <c r="B8" s="2">
        <v>20.0</v>
      </c>
      <c r="C8" s="2">
        <v>800.0</v>
      </c>
      <c r="D8" s="3">
        <f t="shared" si="1"/>
        <v>16000</v>
      </c>
      <c r="E8" s="2">
        <v>1000.0</v>
      </c>
      <c r="F8" s="3">
        <f t="shared" si="2"/>
        <v>20000</v>
      </c>
    </row>
    <row r="9">
      <c r="A9" s="2" t="s">
        <v>124</v>
      </c>
      <c r="B9" s="2">
        <v>15.0</v>
      </c>
      <c r="C9" s="2">
        <v>600.0</v>
      </c>
      <c r="D9" s="3">
        <f t="shared" si="1"/>
        <v>9000</v>
      </c>
      <c r="E9" s="2">
        <v>700.0</v>
      </c>
      <c r="F9" s="3">
        <f t="shared" si="2"/>
        <v>10500</v>
      </c>
    </row>
    <row r="10">
      <c r="A10" s="2" t="s">
        <v>180</v>
      </c>
      <c r="B10" s="2"/>
      <c r="C10" s="2">
        <v>500.0</v>
      </c>
      <c r="D10" s="3">
        <f t="shared" si="1"/>
        <v>0</v>
      </c>
      <c r="E10" s="2">
        <v>600.0</v>
      </c>
      <c r="F10" s="3">
        <f t="shared" si="2"/>
        <v>0</v>
      </c>
    </row>
    <row r="11">
      <c r="A11" s="2" t="s">
        <v>174</v>
      </c>
      <c r="B11" s="2">
        <v>12.0</v>
      </c>
      <c r="C11" s="2">
        <v>500.0</v>
      </c>
      <c r="D11" s="3">
        <f t="shared" si="1"/>
        <v>6000</v>
      </c>
      <c r="E11" s="2">
        <v>700.0</v>
      </c>
      <c r="F11" s="3">
        <f t="shared" si="2"/>
        <v>8400</v>
      </c>
    </row>
    <row r="12">
      <c r="A12" s="2" t="s">
        <v>11</v>
      </c>
      <c r="B12" s="2">
        <v>48.0</v>
      </c>
      <c r="C12" s="2">
        <v>300.0</v>
      </c>
      <c r="D12" s="3">
        <f t="shared" si="1"/>
        <v>14400</v>
      </c>
      <c r="E12" s="2">
        <v>500.0</v>
      </c>
      <c r="F12" s="3">
        <f t="shared" si="2"/>
        <v>24000</v>
      </c>
    </row>
    <row r="13">
      <c r="D13" s="4">
        <f>SUM(D3:D12)</f>
        <v>120900</v>
      </c>
      <c r="F13" s="4">
        <f>SUM(F3:F12)</f>
        <v>150900</v>
      </c>
    </row>
    <row r="14">
      <c r="E14" s="5" t="s">
        <v>141</v>
      </c>
      <c r="F14" s="59"/>
    </row>
    <row r="15">
      <c r="E15" s="5" t="s">
        <v>12</v>
      </c>
      <c r="F15" s="6">
        <f>F13-D13-F14</f>
        <v>30000</v>
      </c>
    </row>
    <row r="16">
      <c r="E16" s="7"/>
    </row>
    <row r="17">
      <c r="E17" s="7" t="s">
        <v>13</v>
      </c>
    </row>
    <row r="18">
      <c r="E18" s="2" t="s">
        <v>14</v>
      </c>
      <c r="F18" s="8">
        <v>115000.0</v>
      </c>
    </row>
    <row r="19">
      <c r="A19" s="7" t="s">
        <v>19</v>
      </c>
      <c r="E19" s="2" t="s">
        <v>167</v>
      </c>
      <c r="F19" s="8">
        <v>10500.0</v>
      </c>
    </row>
    <row r="20">
      <c r="A20" s="2" t="s">
        <v>37</v>
      </c>
      <c r="B20" s="10"/>
      <c r="C20" s="8">
        <v>2400.0</v>
      </c>
      <c r="E20" s="2" t="s">
        <v>116</v>
      </c>
      <c r="F20" s="3">
        <f>3500+3600</f>
        <v>7100</v>
      </c>
    </row>
    <row r="21">
      <c r="A21" s="2" t="s">
        <v>196</v>
      </c>
      <c r="B21" s="10"/>
      <c r="C21" s="8">
        <v>3300.0</v>
      </c>
      <c r="D21" s="9" t="s">
        <v>155</v>
      </c>
      <c r="E21" s="2" t="s">
        <v>200</v>
      </c>
      <c r="F21" s="8">
        <f>E11*6</f>
        <v>4200</v>
      </c>
    </row>
    <row r="22">
      <c r="A22" s="2" t="s">
        <v>197</v>
      </c>
      <c r="B22" s="10"/>
      <c r="C22" s="8">
        <v>3300.0</v>
      </c>
      <c r="D22" s="9" t="s">
        <v>155</v>
      </c>
      <c r="E22" s="2" t="str">
        <f>A19</f>
        <v>Not Paid</v>
      </c>
      <c r="F22" s="3">
        <f>C28</f>
        <v>15200</v>
      </c>
    </row>
    <row r="23">
      <c r="A23" s="2" t="s">
        <v>40</v>
      </c>
      <c r="B23" s="10"/>
      <c r="C23" s="8">
        <v>3600.0</v>
      </c>
      <c r="D23" s="9" t="s">
        <v>155</v>
      </c>
      <c r="E23" s="2"/>
      <c r="F23" s="60"/>
    </row>
    <row r="24">
      <c r="A24" s="2" t="s">
        <v>199</v>
      </c>
      <c r="B24" s="10"/>
      <c r="C24" s="8">
        <v>2600.0</v>
      </c>
      <c r="E24" s="2" t="s">
        <v>17</v>
      </c>
      <c r="F24" s="3">
        <f>SUM(F18:F23)</f>
        <v>152000</v>
      </c>
    </row>
    <row r="25">
      <c r="A25" s="2"/>
      <c r="B25" s="10"/>
      <c r="C25" s="8"/>
      <c r="E25" s="9" t="s">
        <v>152</v>
      </c>
      <c r="F25" s="57">
        <f>F13-F24</f>
        <v>-1100</v>
      </c>
    </row>
    <row r="26">
      <c r="A26" s="2"/>
      <c r="B26" s="10"/>
      <c r="C26" s="8"/>
    </row>
    <row r="27">
      <c r="A27" s="2"/>
      <c r="B27" s="10"/>
      <c r="C27" s="8"/>
      <c r="E27" s="7"/>
    </row>
    <row r="28">
      <c r="A28" s="2"/>
      <c r="B28" s="10"/>
      <c r="C28" s="8">
        <f>SUM(C20:C26)</f>
        <v>15200</v>
      </c>
      <c r="E28" s="7"/>
    </row>
    <row r="29">
      <c r="C29" s="55"/>
    </row>
    <row r="30">
      <c r="E30" s="62"/>
    </row>
    <row r="34">
      <c r="B34" s="16"/>
    </row>
    <row r="36">
      <c r="E36" s="9"/>
    </row>
    <row r="37">
      <c r="B37" s="16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75"/>
    <col customWidth="1" min="4" max="4" width="13.75"/>
    <col customWidth="1" min="5" max="5" width="19.25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>
      <c r="A3" s="64" t="s">
        <v>5</v>
      </c>
      <c r="B3" s="64">
        <v>25.0</v>
      </c>
      <c r="C3" s="64">
        <v>500.0</v>
      </c>
      <c r="D3" s="3">
        <f t="shared" ref="D3:D12" si="1">B3*C3</f>
        <v>12500</v>
      </c>
      <c r="E3" s="64">
        <v>600.0</v>
      </c>
      <c r="F3" s="3">
        <f t="shared" ref="F3:F12" si="2">B3*E3</f>
        <v>15000</v>
      </c>
    </row>
    <row r="4">
      <c r="A4" s="64" t="s">
        <v>6</v>
      </c>
      <c r="B4" s="64">
        <v>25.0</v>
      </c>
      <c r="C4" s="64">
        <v>600.0</v>
      </c>
      <c r="D4" s="3">
        <f t="shared" si="1"/>
        <v>15000</v>
      </c>
      <c r="E4" s="64">
        <v>700.0</v>
      </c>
      <c r="F4" s="3">
        <f t="shared" si="2"/>
        <v>17500</v>
      </c>
    </row>
    <row r="5">
      <c r="A5" s="64" t="s">
        <v>7</v>
      </c>
      <c r="B5" s="64">
        <v>25.0</v>
      </c>
      <c r="C5" s="64">
        <v>600.0</v>
      </c>
      <c r="D5" s="3">
        <f t="shared" si="1"/>
        <v>15000</v>
      </c>
      <c r="E5" s="64">
        <v>700.0</v>
      </c>
      <c r="F5" s="3">
        <f t="shared" si="2"/>
        <v>17500</v>
      </c>
    </row>
    <row r="6">
      <c r="A6" s="64" t="s">
        <v>150</v>
      </c>
      <c r="B6" s="64">
        <v>20.0</v>
      </c>
      <c r="C6" s="64">
        <v>900.0</v>
      </c>
      <c r="D6" s="3">
        <f t="shared" si="1"/>
        <v>18000</v>
      </c>
      <c r="E6" s="64">
        <v>1000.0</v>
      </c>
      <c r="F6" s="3">
        <f t="shared" si="2"/>
        <v>20000</v>
      </c>
    </row>
    <row r="7">
      <c r="A7" s="64" t="s">
        <v>9</v>
      </c>
      <c r="B7" s="64">
        <v>15.0</v>
      </c>
      <c r="C7" s="64">
        <v>1000.0</v>
      </c>
      <c r="D7" s="3">
        <f t="shared" si="1"/>
        <v>15000</v>
      </c>
      <c r="E7" s="64">
        <v>1200.0</v>
      </c>
      <c r="F7" s="3">
        <f t="shared" si="2"/>
        <v>18000</v>
      </c>
    </row>
    <row r="8">
      <c r="A8" s="64" t="s">
        <v>10</v>
      </c>
      <c r="B8" s="64">
        <v>20.0</v>
      </c>
      <c r="C8" s="64">
        <v>800.0</v>
      </c>
      <c r="D8" s="3">
        <f t="shared" si="1"/>
        <v>16000</v>
      </c>
      <c r="E8" s="64">
        <v>1000.0</v>
      </c>
      <c r="F8" s="3">
        <f t="shared" si="2"/>
        <v>20000</v>
      </c>
    </row>
    <row r="9">
      <c r="A9" s="64" t="s">
        <v>124</v>
      </c>
      <c r="B9" s="64">
        <v>15.0</v>
      </c>
      <c r="C9" s="64">
        <v>600.0</v>
      </c>
      <c r="D9" s="3">
        <f t="shared" si="1"/>
        <v>9000</v>
      </c>
      <c r="E9" s="64">
        <v>700.0</v>
      </c>
      <c r="F9" s="3">
        <f t="shared" si="2"/>
        <v>10500</v>
      </c>
    </row>
    <row r="10">
      <c r="A10" s="64" t="s">
        <v>180</v>
      </c>
      <c r="B10" s="64"/>
      <c r="C10" s="64">
        <v>500.0</v>
      </c>
      <c r="D10" s="3">
        <f t="shared" si="1"/>
        <v>0</v>
      </c>
      <c r="E10" s="64">
        <v>600.0</v>
      </c>
      <c r="F10" s="3">
        <f t="shared" si="2"/>
        <v>0</v>
      </c>
    </row>
    <row r="11">
      <c r="A11" s="64" t="s">
        <v>174</v>
      </c>
      <c r="B11" s="64">
        <v>12.0</v>
      </c>
      <c r="C11" s="64">
        <v>500.0</v>
      </c>
      <c r="D11" s="3">
        <f t="shared" si="1"/>
        <v>6000</v>
      </c>
      <c r="E11" s="64">
        <v>700.0</v>
      </c>
      <c r="F11" s="3">
        <f t="shared" si="2"/>
        <v>8400</v>
      </c>
    </row>
    <row r="12">
      <c r="A12" s="64" t="s">
        <v>11</v>
      </c>
      <c r="B12" s="64">
        <v>48.0</v>
      </c>
      <c r="C12" s="64">
        <v>300.0</v>
      </c>
      <c r="D12" s="3">
        <f t="shared" si="1"/>
        <v>14400</v>
      </c>
      <c r="E12" s="64">
        <v>500.0</v>
      </c>
      <c r="F12" s="3">
        <f t="shared" si="2"/>
        <v>24000</v>
      </c>
    </row>
    <row r="13">
      <c r="D13" s="4">
        <f>SUM(D3:D12)</f>
        <v>120900</v>
      </c>
      <c r="F13" s="4">
        <f>SUM(F3:F12)</f>
        <v>150900</v>
      </c>
    </row>
    <row r="14">
      <c r="E14" s="5" t="s">
        <v>141</v>
      </c>
      <c r="F14" s="65">
        <v>3300.0</v>
      </c>
    </row>
    <row r="15">
      <c r="E15" s="5" t="s">
        <v>12</v>
      </c>
      <c r="F15" s="6">
        <f>F13-D13-F14</f>
        <v>26700</v>
      </c>
    </row>
    <row r="16">
      <c r="E16" s="7"/>
    </row>
    <row r="17">
      <c r="E17" s="7" t="s">
        <v>13</v>
      </c>
    </row>
    <row r="18">
      <c r="E18" s="2" t="s">
        <v>14</v>
      </c>
      <c r="F18" s="66">
        <v>134000.0</v>
      </c>
    </row>
    <row r="19">
      <c r="A19" s="7" t="s">
        <v>19</v>
      </c>
      <c r="E19" s="2" t="s">
        <v>167</v>
      </c>
      <c r="F19" s="66">
        <v>5100.0</v>
      </c>
    </row>
    <row r="20">
      <c r="A20" s="64" t="s">
        <v>111</v>
      </c>
      <c r="B20" s="67"/>
      <c r="C20" s="66">
        <v>2900.0</v>
      </c>
      <c r="E20" s="2" t="s">
        <v>116</v>
      </c>
      <c r="F20" s="68">
        <f>3500</f>
        <v>3500</v>
      </c>
    </row>
    <row r="21">
      <c r="A21" s="64" t="s">
        <v>196</v>
      </c>
      <c r="B21" s="67"/>
      <c r="C21" s="66">
        <v>3300.0</v>
      </c>
      <c r="E21" s="2" t="s">
        <v>200</v>
      </c>
      <c r="F21" s="66">
        <f>E11*6</f>
        <v>4200</v>
      </c>
    </row>
    <row r="22">
      <c r="A22" s="64" t="s">
        <v>197</v>
      </c>
      <c r="B22" s="67"/>
      <c r="C22" s="66">
        <v>1500.0</v>
      </c>
      <c r="E22" s="2" t="str">
        <f>A19</f>
        <v>Not Paid</v>
      </c>
      <c r="F22" s="3">
        <f>C28</f>
        <v>9700</v>
      </c>
    </row>
    <row r="23">
      <c r="A23" s="64" t="s">
        <v>203</v>
      </c>
      <c r="B23" s="67"/>
      <c r="C23" s="66">
        <v>1500.0</v>
      </c>
      <c r="E23" s="2"/>
      <c r="F23" s="60"/>
    </row>
    <row r="24">
      <c r="A24" s="64" t="s">
        <v>32</v>
      </c>
      <c r="B24" s="67"/>
      <c r="C24" s="66">
        <v>500.0</v>
      </c>
      <c r="E24" s="2" t="s">
        <v>17</v>
      </c>
      <c r="F24" s="3">
        <f>SUM(F18:F23)</f>
        <v>156500</v>
      </c>
    </row>
    <row r="25">
      <c r="A25" s="64"/>
      <c r="B25" s="67"/>
      <c r="C25" s="66"/>
      <c r="E25" s="9" t="s">
        <v>152</v>
      </c>
      <c r="F25" s="57">
        <f>F13-F24</f>
        <v>-5600</v>
      </c>
    </row>
    <row r="26">
      <c r="A26" s="64"/>
      <c r="B26" s="67"/>
      <c r="C26" s="66"/>
    </row>
    <row r="27">
      <c r="A27" s="64"/>
      <c r="B27" s="67"/>
      <c r="C27" s="66"/>
      <c r="E27" s="7"/>
    </row>
    <row r="28">
      <c r="A28" s="2"/>
      <c r="B28" s="10"/>
      <c r="C28" s="8">
        <f>SUM(C20:C26)</f>
        <v>9700</v>
      </c>
      <c r="E28" s="69" t="s">
        <v>204</v>
      </c>
    </row>
    <row r="29">
      <c r="C29" s="55"/>
    </row>
    <row r="30">
      <c r="E30" s="70" t="s">
        <v>205</v>
      </c>
    </row>
    <row r="31">
      <c r="E31" s="71" t="s">
        <v>206</v>
      </c>
    </row>
    <row r="32">
      <c r="E32" s="71" t="s">
        <v>207</v>
      </c>
    </row>
    <row r="34">
      <c r="B34" s="16"/>
    </row>
    <row r="36">
      <c r="E36" s="9"/>
    </row>
    <row r="37">
      <c r="B37" s="16"/>
    </row>
  </sheetData>
  <mergeCells count="1">
    <mergeCell ref="E28:G29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</cols>
  <sheetData>
    <row r="2">
      <c r="A2" s="1" t="s">
        <v>0</v>
      </c>
      <c r="B2" s="1" t="s">
        <v>4</v>
      </c>
    </row>
    <row r="3">
      <c r="A3" s="2" t="s">
        <v>5</v>
      </c>
      <c r="B3" s="2">
        <v>600.0</v>
      </c>
    </row>
    <row r="4">
      <c r="A4" s="2" t="s">
        <v>6</v>
      </c>
      <c r="B4" s="2">
        <v>700.0</v>
      </c>
    </row>
    <row r="5">
      <c r="A5" s="2" t="s">
        <v>7</v>
      </c>
      <c r="B5" s="2">
        <v>700.0</v>
      </c>
    </row>
    <row r="6">
      <c r="A6" s="2" t="s">
        <v>150</v>
      </c>
      <c r="B6" s="2">
        <v>1000.0</v>
      </c>
    </row>
    <row r="7">
      <c r="A7" s="2" t="s">
        <v>9</v>
      </c>
      <c r="B7" s="2">
        <v>1200.0</v>
      </c>
    </row>
    <row r="8">
      <c r="A8" s="2" t="s">
        <v>10</v>
      </c>
      <c r="B8" s="2">
        <v>1000.0</v>
      </c>
    </row>
    <row r="9">
      <c r="A9" s="2" t="s">
        <v>124</v>
      </c>
      <c r="B9" s="2">
        <v>700.0</v>
      </c>
    </row>
    <row r="10">
      <c r="A10" s="2" t="s">
        <v>180</v>
      </c>
      <c r="B10" s="2">
        <v>600.0</v>
      </c>
    </row>
    <row r="11">
      <c r="A11" s="2" t="s">
        <v>174</v>
      </c>
      <c r="B11" s="2">
        <v>700.0</v>
      </c>
    </row>
    <row r="12">
      <c r="A12" s="2" t="s">
        <v>11</v>
      </c>
      <c r="B12" s="2">
        <v>500.0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4"/>
    </row>
    <row r="2">
      <c r="A2" s="9" t="s">
        <v>160</v>
      </c>
      <c r="B2" s="4"/>
    </row>
    <row r="3">
      <c r="A3" s="72">
        <v>45753.0</v>
      </c>
      <c r="B3" s="60">
        <v>2100.0</v>
      </c>
    </row>
    <row r="4">
      <c r="A4" s="72">
        <v>45767.0</v>
      </c>
      <c r="B4" s="60">
        <v>2200.0</v>
      </c>
    </row>
    <row r="5">
      <c r="A5" s="72">
        <v>45795.0</v>
      </c>
      <c r="B5" s="60">
        <v>2200.0</v>
      </c>
    </row>
    <row r="6">
      <c r="A6" s="72">
        <v>45809.0</v>
      </c>
      <c r="B6" s="60">
        <v>2600.0</v>
      </c>
    </row>
    <row r="7">
      <c r="B7" s="57">
        <f>Sum(B3:B6)</f>
        <v>9100</v>
      </c>
    </row>
    <row r="8">
      <c r="B8" s="4"/>
    </row>
    <row r="9">
      <c r="A9" s="9" t="s">
        <v>208</v>
      </c>
      <c r="B9" s="4"/>
    </row>
    <row r="10">
      <c r="A10" s="9" t="s">
        <v>209</v>
      </c>
      <c r="B10" s="60">
        <v>4300.0</v>
      </c>
    </row>
    <row r="11">
      <c r="B11" s="4"/>
    </row>
    <row r="12">
      <c r="A12" s="7" t="s">
        <v>111</v>
      </c>
      <c r="B12" s="4"/>
    </row>
    <row r="13">
      <c r="A13" s="72">
        <v>45781.0</v>
      </c>
      <c r="B13" s="60">
        <v>1300.0</v>
      </c>
    </row>
    <row r="14">
      <c r="A14" s="72">
        <v>45788.0</v>
      </c>
      <c r="B14" s="60">
        <v>2100.0</v>
      </c>
    </row>
    <row r="15">
      <c r="A15" s="72">
        <v>45795.0</v>
      </c>
      <c r="B15" s="60">
        <v>3100.0</v>
      </c>
    </row>
    <row r="16">
      <c r="A16" s="72">
        <v>45816.0</v>
      </c>
      <c r="B16" s="60">
        <v>2600.0</v>
      </c>
    </row>
    <row r="17">
      <c r="B17" s="57">
        <f>Sum(B13:B16)</f>
        <v>9100</v>
      </c>
    </row>
    <row r="18">
      <c r="B18" s="4"/>
    </row>
    <row r="19">
      <c r="A19" s="7" t="s">
        <v>27</v>
      </c>
      <c r="B19" s="4"/>
    </row>
    <row r="20">
      <c r="A20" s="73">
        <v>45753.0</v>
      </c>
      <c r="B20" s="60">
        <v>1000.0</v>
      </c>
    </row>
    <row r="21">
      <c r="A21" s="72">
        <v>45795.0</v>
      </c>
      <c r="B21" s="60">
        <v>1100.0</v>
      </c>
    </row>
    <row r="22">
      <c r="B22" s="57">
        <f>Sum(B20:B21)</f>
        <v>2100</v>
      </c>
    </row>
    <row r="23">
      <c r="B23" s="4"/>
    </row>
    <row r="24">
      <c r="A24" s="7" t="s">
        <v>37</v>
      </c>
      <c r="B24" s="4"/>
    </row>
    <row r="25">
      <c r="A25" s="72">
        <v>45788.0</v>
      </c>
      <c r="B25" s="60">
        <v>3300.0</v>
      </c>
    </row>
    <row r="26">
      <c r="A26" s="72">
        <v>45795.0</v>
      </c>
      <c r="B26" s="60">
        <v>1200.0</v>
      </c>
    </row>
    <row r="27">
      <c r="A27" s="72">
        <v>45809.0</v>
      </c>
      <c r="B27" s="60">
        <v>1700.0</v>
      </c>
    </row>
    <row r="28">
      <c r="B28" s="57">
        <f>Sum(B25:B27)</f>
        <v>6200</v>
      </c>
    </row>
    <row r="29">
      <c r="B29" s="4"/>
    </row>
    <row r="30">
      <c r="A30" s="9" t="s">
        <v>194</v>
      </c>
      <c r="B30" s="4"/>
    </row>
    <row r="31">
      <c r="A31" s="72">
        <v>45781.0</v>
      </c>
      <c r="B31" s="60">
        <v>1500.0</v>
      </c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rawing r:id="rId1"/>
</worksheet>
</file>